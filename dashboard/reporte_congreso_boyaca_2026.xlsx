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p Candidatos CA" sheetId="2" state="visible" r:id="rId2"/>
    <sheet xmlns:r="http://schemas.openxmlformats.org/officeDocument/2006/relationships" name="Partidos Senado" sheetId="3" state="visible" r:id="rId3"/>
    <sheet xmlns:r="http://schemas.openxmlformats.org/officeDocument/2006/relationships" name="Arrastre Verde" sheetId="4" state="visible" r:id="rId4"/>
    <sheet xmlns:r="http://schemas.openxmlformats.org/officeDocument/2006/relationships" name="Dominancia &gt;60%" sheetId="5" state="visible" r:id="rId5"/>
    <sheet xmlns:r="http://schemas.openxmlformats.org/officeDocument/2006/relationships" name="Atribucion 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0.0"/>
    <numFmt numFmtId="167" formatCode="#,##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8899AA"/>
      <sz val="10"/>
    </font>
    <font>
      <b val="1"/>
      <color rgb="00FFFFFF"/>
      <sz val="11"/>
    </font>
    <font>
      <color rgb="00E0E6ED"/>
      <sz val="10"/>
    </font>
    <font>
      <name val="Consolas"/>
      <color rgb="00E0E6ED"/>
      <sz val="10"/>
    </font>
    <font>
      <b val="1"/>
      <color rgb="0000C853"/>
      <sz val="10"/>
    </font>
    <font>
      <b val="1"/>
      <color rgb="00FF5252"/>
      <sz val="10"/>
    </font>
    <font>
      <b val="1"/>
      <color rgb="00E07B00"/>
      <sz val="10"/>
    </font>
    <font>
      <color rgb="002196F3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top style="thin">
        <color rgb="00233345"/>
      </top>
      <bottom style="thin">
        <color rgb="0023334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horizontal="right" vertical="center"/>
    </xf>
    <xf numFmtId="0" fontId="4" fillId="2" borderId="1" pivotButton="0" quotePrefix="0" xfId="0"/>
    <xf numFmtId="0" fontId="5" fillId="2" borderId="1" applyAlignment="1" pivotButton="0" quotePrefix="0" xfId="0">
      <alignment horizontal="right" vertical="center"/>
    </xf>
    <xf numFmtId="10" fontId="5" fillId="2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0" fontId="3" fillId="3" borderId="0" pivotButton="0" quotePrefix="0" xfId="0"/>
    <xf numFmtId="165" fontId="5" fillId="2" borderId="1" applyAlignment="1" pivotButton="0" quotePrefix="0" xfId="0">
      <alignment horizontal="right" vertical="center"/>
    </xf>
    <xf numFmtId="0" fontId="6" fillId="2" borderId="1" pivotButton="0" quotePrefix="0" xfId="0"/>
    <xf numFmtId="165" fontId="5" fillId="4" borderId="1" applyAlignment="1" pivotButton="0" quotePrefix="0" xfId="0">
      <alignment horizontal="right" vertical="center"/>
    </xf>
    <xf numFmtId="0" fontId="6" fillId="4" borderId="1" pivotButton="0" quotePrefix="0" xfId="0"/>
    <xf numFmtId="0" fontId="7" fillId="4" borderId="1" pivotButton="0" quotePrefix="0" xfId="0"/>
    <xf numFmtId="0" fontId="7" fillId="2" borderId="1" pivotButton="0" quotePrefix="0" xfId="0"/>
    <xf numFmtId="0" fontId="8" fillId="2" borderId="1" pivotButton="0" quotePrefix="0" xfId="0"/>
    <xf numFmtId="0" fontId="8" fillId="4" borderId="1" pivotButton="0" quotePrefix="0" xfId="0"/>
    <xf numFmtId="0" fontId="9" fillId="2" borderId="1" pivotButton="0" quotePrefix="0" xfId="0"/>
    <xf numFmtId="0" fontId="9" fillId="4" borderId="1" pivotButton="0" quotePrefix="0" xfId="0"/>
    <xf numFmtId="166" fontId="5" fillId="2" borderId="1" applyAlignment="1" pivotButton="0" quotePrefix="0" xfId="0">
      <alignment horizontal="right" vertical="center"/>
    </xf>
    <xf numFmtId="167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Votos CA vs SE por municipio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'Resumen'!C16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'Resumen'!$A$17:$A$20</f>
            </numRef>
          </cat>
          <val>
            <numRef>
              <f>'Resumen'!$C$17:$C$20</f>
            </numRef>
          </val>
        </ser>
        <ser>
          <idx val="1"/>
          <order val="1"/>
          <tx>
            <strRef>
              <f>'Resumen'!D16</f>
            </strRef>
          </tx>
          <spPr>
            <a:solidFill xmlns:a="http://schemas.openxmlformats.org/drawingml/2006/main">
              <a:srgbClr val="007C34"/>
            </a:solidFill>
            <a:ln xmlns:a="http://schemas.openxmlformats.org/drawingml/2006/main">
              <a:prstDash val="solid"/>
            </a:ln>
          </spPr>
          <cat>
            <numRef>
              <f>'Resumen'!$A$17:$A$20</f>
            </numRef>
          </cat>
          <val>
            <numRef>
              <f>'Resumen'!$D$17:$D$20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Distribucion de votos totales por municipio</a:t>
            </a:r>
          </a:p>
        </rich>
      </tx>
    </title>
    <plotArea>
      <pieChart>
        <varyColors val="1"/>
        <ser>
          <idx val="0"/>
          <order val="0"/>
          <tx>
            <strRef>
              <f>'Resumen'!E16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C3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7B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B2D8B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'Resumen'!$A$17:$A$20</f>
            </numRef>
          </cat>
          <val>
            <numRef>
              <f>'Resumen'!$E$17:$E$20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Votos CA + SE por zona electoral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'Resumen'!C39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'Resumen'!$B$40:$B$58</f>
            </numRef>
          </cat>
          <val>
            <numRef>
              <f>'Resumen'!$C$40:$C$58</f>
            </numRef>
          </val>
        </ser>
        <ser>
          <idx val="1"/>
          <order val="1"/>
          <tx>
            <strRef>
              <f>'Resumen'!D39</f>
            </strRef>
          </tx>
          <spPr>
            <a:solidFill xmlns:a="http://schemas.openxmlformats.org/drawingml/2006/main">
              <a:srgbClr val="007C34"/>
            </a:solidFill>
            <a:ln xmlns:a="http://schemas.openxmlformats.org/drawingml/2006/main">
              <a:prstDash val="solid"/>
            </a:ln>
          </spPr>
          <cat>
            <numRef>
              <f>'Resumen'!$B$40:$B$58</f>
            </numRef>
          </cat>
          <val>
            <numRef>
              <f>'Resumen'!$D$40:$D$58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candidatos Camara (4 municipios)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Candidatos CA'!B67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'Top Candidatos CA'!$A$68:$A$77</f>
            </numRef>
          </cat>
          <val>
            <numRef>
              <f>'Top Candidatos CA'!$B$68:$B$77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candidatos por municipio (votos)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Candidatos CA'!B79</f>
            </strRef>
          </tx>
          <spPr>
            <a:solidFill xmlns:a="http://schemas.openxmlformats.org/drawingml/2006/main">
              <a:srgbClr val="FFD700"/>
            </a:solidFill>
            <a:ln xmlns:a="http://schemas.openxmlformats.org/drawingml/2006/main">
              <a:prstDash val="solid"/>
            </a:ln>
          </spPr>
          <cat>
            <numRef>
              <f>'Top Candidatos CA'!$A$80:$A$83</f>
            </numRef>
          </cat>
          <val>
            <numRef>
              <f>'Top Candidatos CA'!$B$80:$B$83</f>
            </numRef>
          </val>
        </ser>
        <ser>
          <idx val="1"/>
          <order val="1"/>
          <tx>
            <strRef>
              <f>'Top Candidatos CA'!C79</f>
            </strRef>
          </tx>
          <spPr>
            <a:solidFill xmlns:a="http://schemas.openxmlformats.org/drawingml/2006/main">
              <a:srgbClr val="C0C0C0"/>
            </a:solidFill>
            <a:ln xmlns:a="http://schemas.openxmlformats.org/drawingml/2006/main">
              <a:prstDash val="solid"/>
            </a:ln>
          </spPr>
          <cat>
            <numRef>
              <f>'Top Candidatos CA'!$A$80:$A$83</f>
            </numRef>
          </cat>
          <val>
            <numRef>
              <f>'Top Candidatos CA'!$C$80:$C$83</f>
            </numRef>
          </val>
        </ser>
        <ser>
          <idx val="2"/>
          <order val="2"/>
          <tx>
            <strRef>
              <f>'Top Candidatos CA'!D79</f>
            </strRef>
          </tx>
          <spPr>
            <a:solidFill xmlns:a="http://schemas.openxmlformats.org/drawingml/2006/main">
              <a:srgbClr val="CD7F32"/>
            </a:solidFill>
            <a:ln xmlns:a="http://schemas.openxmlformats.org/drawingml/2006/main">
              <a:prstDash val="solid"/>
            </a:ln>
          </spPr>
          <cat>
            <numRef>
              <f>'Top Candidatos CA'!$A$80:$A$83</f>
            </numRef>
          </cat>
          <val>
            <numRef>
              <f>'Top Candidatos CA'!$D$80:$D$83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Partidos Senado - TUNJA</a:t>
            </a:r>
          </a:p>
        </rich>
      </tx>
    </title>
    <plotArea>
      <pieChart>
        <varyColors val="1"/>
        <ser>
          <idx val="0"/>
          <order val="0"/>
          <tx>
            <strRef>
              <f>'Partidos Senado'!B105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C3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7B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B2D8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5252"/>
              </a:solidFill>
              <a:ln xmlns:a="http://schemas.openxmlformats.org/drawingml/2006/main">
                <a:prstDash val="solid"/>
              </a:ln>
            </spPr>
          </dPt>
          <cat>
            <numRef>
              <f>'Partidos Senado'!$A$106:$A$110</f>
            </numRef>
          </cat>
          <val>
            <numRef>
              <f>'Partidos Senado'!$B$106:$B$110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Partidos Senado - DUITAMA</a:t>
            </a:r>
          </a:p>
        </rich>
      </tx>
    </title>
    <plotArea>
      <pieChart>
        <varyColors val="1"/>
        <ser>
          <idx val="0"/>
          <order val="0"/>
          <tx>
            <strRef>
              <f>'Partidos Senado'!B113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C3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7B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B2D8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5252"/>
              </a:solidFill>
              <a:ln xmlns:a="http://schemas.openxmlformats.org/drawingml/2006/main">
                <a:prstDash val="solid"/>
              </a:ln>
            </spPr>
          </dPt>
          <cat>
            <numRef>
              <f>'Partidos Senado'!$A$114:$A$118</f>
            </numRef>
          </cat>
          <val>
            <numRef>
              <f>'Partidos Senado'!$B$114:$B$118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Partidos Senado - SOGAMOSO</a:t>
            </a:r>
          </a:p>
        </rich>
      </tx>
    </title>
    <plotArea>
      <pieChart>
        <varyColors val="1"/>
        <ser>
          <idx val="0"/>
          <order val="0"/>
          <tx>
            <strRef>
              <f>'Partidos Senado'!B121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C3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7B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B2D8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5252"/>
              </a:solidFill>
              <a:ln xmlns:a="http://schemas.openxmlformats.org/drawingml/2006/main">
                <a:prstDash val="solid"/>
              </a:ln>
            </spPr>
          </dPt>
          <cat>
            <numRef>
              <f>'Partidos Senado'!$A$122:$A$126</f>
            </numRef>
          </cat>
          <val>
            <numRef>
              <f>'Partidos Senado'!$B$122:$B$126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Partidos Senado - PAIPA</a:t>
            </a:r>
          </a:p>
        </rich>
      </tx>
    </title>
    <plotArea>
      <pieChart>
        <varyColors val="1"/>
        <ser>
          <idx val="0"/>
          <order val="0"/>
          <tx>
            <strRef>
              <f>'Partidos Senado'!B129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C3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7B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B2D8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5252"/>
              </a:solidFill>
              <a:ln xmlns:a="http://schemas.openxmlformats.org/drawingml/2006/main">
                <a:prstDash val="solid"/>
              </a:ln>
            </spPr>
          </dPt>
          <cat>
            <numRef>
              <f>'Partidos Senado'!$A$130:$A$134</f>
            </numRef>
          </cat>
          <val>
            <numRef>
              <f>'Partidos Senado'!$B$130:$B$134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votos Senado por partido (4 municipios)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'Partidos Senado'!B139</f>
            </strRef>
          </tx>
          <spPr>
            <a:solidFill xmlns:a="http://schemas.openxmlformats.org/drawingml/2006/main">
              <a:srgbClr val="7B2D8B"/>
            </a:solidFill>
            <a:ln xmlns:a="http://schemas.openxmlformats.org/drawingml/2006/main">
              <a:prstDash val="solid"/>
            </a:ln>
          </spPr>
          <cat>
            <numRef>
              <f>'Partidos Senado'!$A$140:$A$147</f>
            </numRef>
          </cat>
          <val>
            <numRef>
              <f>'Partidos Senado'!$B$140:$B$147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Arrastre Verde SE/CA por zona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'Arrastre Verde'!G4</f>
            </strRef>
          </tx>
          <spPr>
            <a:solidFill xmlns:a="http://schemas.openxmlformats.org/drawingml/2006/main">
              <a:srgbClr val="007C34"/>
            </a:solidFill>
            <a:ln xmlns:a="http://schemas.openxmlformats.org/drawingml/2006/main">
              <a:prstDash val="solid"/>
            </a:ln>
          </spPr>
          <cat>
            <numRef>
              <f>'Arrastre Verde'!$B$5:$B$23</f>
            </numRef>
          </cat>
          <val>
            <numRef>
              <f>'Arrastre Verde'!$G$5:$G$23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Votos Verde: Camara vs Senado por zona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'Arrastre Verde'!C4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'Arrastre Verde'!$B$5:$B$23</f>
            </numRef>
          </cat>
          <val>
            <numRef>
              <f>'Arrastre Verde'!$C$5:$C$23</f>
            </numRef>
          </val>
        </ser>
        <ser>
          <idx val="1"/>
          <order val="1"/>
          <tx>
            <strRef>
              <f>'Arrastre Verde'!D4</f>
            </strRef>
          </tx>
          <spPr>
            <a:solidFill xmlns:a="http://schemas.openxmlformats.org/drawingml/2006/main">
              <a:srgbClr val="007C34"/>
            </a:solidFill>
            <a:ln xmlns:a="http://schemas.openxmlformats.org/drawingml/2006/main">
              <a:prstDash val="solid"/>
            </a:ln>
          </spPr>
          <cat>
            <numRef>
              <f>'Arrastre Verde'!$B$5:$B$23</f>
            </numRef>
          </cat>
          <val>
            <numRef>
              <f>'Arrastre Verde'!$D$5:$D$23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Arrastre Verde por municipio (agregado)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'Arrastre Verde'!B58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'Arrastre Verde'!$A$59:$A$62</f>
            </numRef>
          </cat>
          <val>
            <numRef>
              <f>'Arrastre Verde'!$B$59:$B$62</f>
            </numRef>
          </val>
        </ser>
        <ser>
          <idx val="1"/>
          <order val="1"/>
          <tx>
            <strRef>
              <f>'Arrastre Verde'!C58</f>
            </strRef>
          </tx>
          <spPr>
            <a:solidFill xmlns:a="http://schemas.openxmlformats.org/drawingml/2006/main">
              <a:srgbClr val="007C34"/>
            </a:solidFill>
            <a:ln xmlns:a="http://schemas.openxmlformats.org/drawingml/2006/main">
              <a:prstDash val="solid"/>
            </a:ln>
          </spPr>
          <cat>
            <numRef>
              <f>'Arrastre Verde'!$A$59:$A$62</f>
            </numRef>
          </cat>
          <val>
            <numRef>
              <f>'Arrastre Verde'!$C$59:$C$62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Distribucion por nivel de dominancia</a:t>
            </a:r>
          </a:p>
        </rich>
      </tx>
    </title>
    <plotArea>
      <pieChart>
        <varyColors val="1"/>
        <ser>
          <idx val="0"/>
          <order val="0"/>
          <tx>
            <strRef>
              <f>'Dominancia &gt;60%'!B52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525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7B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cat>
            <numRef>
              <f>'Dominancia &gt;60%'!$A$53:$A$55</f>
            </numRef>
          </cat>
          <val>
            <numRef>
              <f>'Dominancia &gt;60%'!$B$53:$B$55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candidatos con mayor dominancia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'Dominancia &gt;60%'!B68</f>
            </strRef>
          </tx>
          <spPr>
            <a:solidFill xmlns:a="http://schemas.openxmlformats.org/drawingml/2006/main">
              <a:srgbClr val="FF5252"/>
            </a:solidFill>
            <a:ln xmlns:a="http://schemas.openxmlformats.org/drawingml/2006/main">
              <a:prstDash val="solid"/>
            </a:ln>
          </spPr>
          <cat>
            <numRef>
              <f>'Dominancia &gt;60%'!$A$69:$A$78</f>
            </numRef>
          </cat>
          <val>
            <numRef>
              <f>'Dominancia &gt;60%'!$B$69:$B$78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Dominancia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Zonas con dominancia &gt;60% por municipio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'Dominancia &gt;60%'!B81</f>
            </strRef>
          </tx>
          <spPr>
            <a:solidFill xmlns:a="http://schemas.openxmlformats.org/drawingml/2006/main">
              <a:srgbClr val="E07B00"/>
            </a:solidFill>
            <a:ln xmlns:a="http://schemas.openxmlformats.org/drawingml/2006/main">
              <a:prstDash val="solid"/>
            </a:ln>
          </spPr>
          <cat>
            <numRef>
              <f>'Dominancia &gt;60%'!$A$82:$A$85</f>
            </numRef>
          </cat>
          <val>
            <numRef>
              <f>'Dominancia &gt;60%'!$B$82:$B$85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zonas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candidatos por atribucion al Senado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'Atribucion SE'!G4</f>
            </strRef>
          </tx>
          <spPr>
            <a:solidFill xmlns:a="http://schemas.openxmlformats.org/drawingml/2006/main">
              <a:srgbClr val="1E477D"/>
            </a:solidFill>
            <a:ln xmlns:a="http://schemas.openxmlformats.org/drawingml/2006/main">
              <a:prstDash val="solid"/>
            </a:ln>
          </spPr>
          <cat>
            <numRef>
              <f>'Atribucion SE'!$B$5:$B$24</f>
            </numRef>
          </cat>
          <val>
            <numRef>
              <f>'Atribucion SE'!$G$5:$G$24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Atribucion (votos equivalentes SE)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Atribucion SE por partido</a:t>
            </a:r>
          </a:p>
        </rich>
      </tx>
    </title>
    <plotArea>
      <pieChart>
        <varyColors val="1"/>
        <ser>
          <idx val="0"/>
          <order val="0"/>
          <tx>
            <strRef>
              <f>'Atribucion SE'!B45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C3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7B00"/>
              </a:solidFill>
              <a:ln xmlns:a="http://schemas.openxmlformats.org/drawingml/2006/main">
                <a:prstDash val="solid"/>
              </a:ln>
            </spPr>
          </dPt>
          <cat>
            <numRef>
              <f>'Atribucion SE'!$A$46:$A$48</f>
            </numRef>
          </cat>
          <val>
            <numRef>
              <f>'Atribucion SE'!$B$46:$B$48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10: Votos CA directos vs Atribucion 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'Atribucion SE'!B51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'Atribucion SE'!$A$52:$A$61</f>
            </numRef>
          </cat>
          <val>
            <numRef>
              <f>'Atribucion SE'!$B$52:$B$61</f>
            </numRef>
          </val>
        </ser>
        <ser>
          <idx val="1"/>
          <order val="1"/>
          <tx>
            <strRef>
              <f>'Atribucion SE'!C51</f>
            </strRef>
          </tx>
          <spPr>
            <a:solidFill xmlns:a="http://schemas.openxmlformats.org/drawingml/2006/main">
              <a:srgbClr val="1E477D"/>
            </a:solidFill>
            <a:ln xmlns:a="http://schemas.openxmlformats.org/drawingml/2006/main">
              <a:prstDash val="solid"/>
            </a:ln>
          </spPr>
          <cat>
            <numRef>
              <f>'Atribucion SE'!$A$52:$A$61</f>
            </numRef>
          </cat>
          <val>
            <numRef>
              <f>'Atribucion SE'!$C$52:$C$61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59</row>
      <rowOff>0</rowOff>
    </from>
    <ext cx="108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66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84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70</row>
      <rowOff>0</rowOff>
    </from>
    <ext cx="57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70</row>
      <rowOff>0</rowOff>
    </from>
    <ext cx="57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86</row>
      <rowOff>0</rowOff>
    </from>
    <ext cx="57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86</row>
      <rowOff>0</rowOff>
    </from>
    <ext cx="57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138</row>
      <rowOff>0</rowOff>
    </from>
    <ext cx="864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40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57</row>
      <rowOff>0</rowOff>
    </from>
    <ext cx="72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51</row>
      <rowOff>0</rowOff>
    </from>
    <ext cx="57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67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80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25</row>
      <rowOff>0</rowOff>
    </from>
    <ext cx="108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44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50</row>
      <rowOff>0</rowOff>
    </from>
    <ext cx="10080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20" customWidth="1" min="6" max="6"/>
    <col width="24" customWidth="1" min="7" max="7"/>
    <col width="10" customWidth="1" min="8" max="8"/>
  </cols>
  <sheetData>
    <row r="1">
      <c r="A1" s="1" t="inlineStr">
        <is>
          <t>REPORTE ELECTORAL - CONGRESO BOYACA 2026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Preconteo 8 de marzo de 2026 | Departamento de Boyaca | 4 municipios principales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INDICADORES GENERALES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Indicador</t>
        </is>
      </c>
      <c r="B5" s="5" t="inlineStr">
        <is>
          <t>Valor</t>
        </is>
      </c>
      <c r="C5" s="2" t="n"/>
      <c r="D5" s="2" t="n"/>
      <c r="E5" s="2" t="n"/>
      <c r="F5" s="2" t="n"/>
      <c r="G5" s="2" t="n"/>
      <c r="H5" s="2" t="n"/>
    </row>
    <row r="6">
      <c r="A6" s="6" t="inlineStr">
        <is>
          <t>Municipios en BD</t>
        </is>
      </c>
      <c r="B6" s="7" t="n">
        <v>123</v>
      </c>
      <c r="C6" s="2" t="n"/>
      <c r="D6" s="2" t="n"/>
      <c r="E6" s="2" t="n"/>
      <c r="F6" s="2" t="n"/>
      <c r="G6" s="2" t="n"/>
      <c r="H6" s="2" t="n"/>
    </row>
    <row r="7">
      <c r="A7" s="8" t="inlineStr">
        <is>
          <t>Zonas electorales</t>
        </is>
      </c>
      <c r="B7" s="9" t="n">
        <v>19</v>
      </c>
      <c r="C7" s="2" t="n"/>
      <c r="D7" s="2" t="n"/>
      <c r="E7" s="2" t="n"/>
      <c r="F7" s="2" t="n"/>
      <c r="G7" s="2" t="n"/>
      <c r="H7" s="2" t="n"/>
    </row>
    <row r="8">
      <c r="A8" s="6" t="inlineStr">
        <is>
          <t>Candidatos registrados</t>
        </is>
      </c>
      <c r="B8" s="7" t="n">
        <v>4508</v>
      </c>
      <c r="C8" s="2" t="n"/>
      <c r="D8" s="2" t="n"/>
      <c r="E8" s="2" t="n"/>
      <c r="F8" s="2" t="n"/>
      <c r="G8" s="2" t="n"/>
      <c r="H8" s="2" t="n"/>
    </row>
    <row r="9">
      <c r="A9" s="8" t="inlineStr">
        <is>
          <t>Partidos</t>
        </is>
      </c>
      <c r="B9" s="9" t="n">
        <v>25</v>
      </c>
      <c r="C9" s="2" t="n"/>
      <c r="D9" s="2" t="n"/>
      <c r="E9" s="2" t="n"/>
      <c r="F9" s="2" t="n"/>
      <c r="G9" s="2" t="n"/>
      <c r="H9" s="2" t="n"/>
    </row>
    <row r="10">
      <c r="A10" s="6" t="inlineStr">
        <is>
          <t>Votos Camara (CA)</t>
        </is>
      </c>
      <c r="B10" s="7" t="n">
        <v>188336</v>
      </c>
      <c r="C10" s="2" t="n"/>
      <c r="D10" s="2" t="n"/>
      <c r="E10" s="2" t="n"/>
      <c r="F10" s="2" t="n"/>
      <c r="G10" s="2" t="n"/>
      <c r="H10" s="2" t="n"/>
    </row>
    <row r="11">
      <c r="A11" s="8" t="inlineStr">
        <is>
          <t>Votos Senado (SE)</t>
        </is>
      </c>
      <c r="B11" s="9" t="n">
        <v>190326</v>
      </c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Filas de votos CA</t>
        </is>
      </c>
      <c r="B12" s="7" t="n">
        <v>1197</v>
      </c>
      <c r="C12" s="2" t="n"/>
      <c r="D12" s="2" t="n"/>
      <c r="E12" s="2" t="n"/>
      <c r="F12" s="2" t="n"/>
      <c r="G12" s="2" t="n"/>
      <c r="H12" s="2" t="n"/>
    </row>
    <row r="13">
      <c r="A13" s="8" t="inlineStr">
        <is>
          <t>Filas de votos SE</t>
        </is>
      </c>
      <c r="B13" s="9" t="n">
        <v>20216</v>
      </c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VOTOS POR MUNICIPIO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5" t="inlineStr">
        <is>
          <t>Municipio</t>
        </is>
      </c>
      <c r="B16" s="5" t="inlineStr">
        <is>
          <t>Codigo</t>
        </is>
      </c>
      <c r="C16" s="5" t="inlineStr">
        <is>
          <t>Votos CA</t>
        </is>
      </c>
      <c r="D16" s="5" t="inlineStr">
        <is>
          <t>Votos SE</t>
        </is>
      </c>
      <c r="E16" s="5" t="inlineStr">
        <is>
          <t>Total</t>
        </is>
      </c>
      <c r="F16" s="5" t="inlineStr">
        <is>
          <t>Diferencia SE-CA</t>
        </is>
      </c>
      <c r="G16" s="5" t="inlineStr">
        <is>
          <t>% Diferencia</t>
        </is>
      </c>
      <c r="H16" s="2" t="n"/>
    </row>
    <row r="17">
      <c r="A17" s="8" t="inlineStr">
        <is>
          <t>TUNJA</t>
        </is>
      </c>
      <c r="B17" s="8" t="inlineStr">
        <is>
          <t>0700001</t>
        </is>
      </c>
      <c r="C17" s="9" t="n">
        <v>72461</v>
      </c>
      <c r="D17" s="9" t="n">
        <v>74243</v>
      </c>
      <c r="E17" s="9" t="n">
        <v>146704</v>
      </c>
      <c r="F17" s="9" t="n">
        <v>1782</v>
      </c>
      <c r="G17" s="10" t="n">
        <v>0.02459253943500642</v>
      </c>
      <c r="H17" s="2" t="n"/>
    </row>
    <row r="18">
      <c r="A18" s="6" t="inlineStr">
        <is>
          <t>SOGAMOSO</t>
        </is>
      </c>
      <c r="B18" s="6" t="inlineStr">
        <is>
          <t>0700277</t>
        </is>
      </c>
      <c r="C18" s="7" t="n">
        <v>50881</v>
      </c>
      <c r="D18" s="7" t="n">
        <v>50847</v>
      </c>
      <c r="E18" s="7" t="n">
        <v>101728</v>
      </c>
      <c r="F18" s="7" t="n">
        <v>-34</v>
      </c>
      <c r="G18" s="11" t="n">
        <v>-0.0006682258603407952</v>
      </c>
      <c r="H18" s="2" t="n"/>
    </row>
    <row r="19">
      <c r="A19" s="8" t="inlineStr">
        <is>
          <t>DUITAMA</t>
        </is>
      </c>
      <c r="B19" s="8" t="inlineStr">
        <is>
          <t>0700079</t>
        </is>
      </c>
      <c r="C19" s="9" t="n">
        <v>48187</v>
      </c>
      <c r="D19" s="9" t="n">
        <v>48843</v>
      </c>
      <c r="E19" s="9" t="n">
        <v>97030</v>
      </c>
      <c r="F19" s="9" t="n">
        <v>656</v>
      </c>
      <c r="G19" s="10" t="n">
        <v>0.01361363023222031</v>
      </c>
      <c r="H19" s="2" t="n"/>
    </row>
    <row r="20">
      <c r="A20" s="6" t="inlineStr">
        <is>
          <t>PAIPA</t>
        </is>
      </c>
      <c r="B20" s="6" t="inlineStr">
        <is>
          <t>0700181</t>
        </is>
      </c>
      <c r="C20" s="7" t="n">
        <v>16807</v>
      </c>
      <c r="D20" s="7" t="n">
        <v>16393</v>
      </c>
      <c r="E20" s="7" t="n">
        <v>33200</v>
      </c>
      <c r="F20" s="7" t="n">
        <v>-414</v>
      </c>
      <c r="G20" s="11" t="n">
        <v>-0.02463259356220622</v>
      </c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4" t="inlineStr">
        <is>
          <t>PARTICIPACION POR ZONAS</t>
        </is>
      </c>
      <c r="B38" s="2" t="n"/>
      <c r="C38" s="2" t="n"/>
      <c r="D38" s="2" t="n"/>
      <c r="E38" s="2" t="n"/>
      <c r="F38" s="2" t="n"/>
      <c r="G38" s="2" t="n"/>
      <c r="H38" s="2" t="n"/>
    </row>
    <row r="39">
      <c r="A39" s="5" t="inlineStr">
        <is>
          <t>Municipio</t>
        </is>
      </c>
      <c r="B39" s="5" t="inlineStr">
        <is>
          <t>Zona</t>
        </is>
      </c>
      <c r="C39" s="5" t="inlineStr">
        <is>
          <t>Votos CA</t>
        </is>
      </c>
      <c r="D39" s="5" t="inlineStr">
        <is>
          <t>Votos SE</t>
        </is>
      </c>
      <c r="E39" s="5" t="inlineStr">
        <is>
          <t>Total</t>
        </is>
      </c>
      <c r="F39" s="5" t="inlineStr">
        <is>
          <t>Ratio SE/CA</t>
        </is>
      </c>
      <c r="G39" s="2" t="n"/>
      <c r="H39" s="2" t="n"/>
    </row>
    <row r="40">
      <c r="A40" s="6" t="inlineStr">
        <is>
          <t>DUITAMA</t>
        </is>
      </c>
      <c r="B40" s="6" t="inlineStr">
        <is>
          <t>070007901</t>
        </is>
      </c>
      <c r="C40" s="7" t="n">
        <v>15541</v>
      </c>
      <c r="D40" s="7" t="n">
        <v>16032</v>
      </c>
      <c r="E40" s="7" t="n">
        <v>31573</v>
      </c>
      <c r="F40" s="12" t="n">
        <v>1.031593848529696</v>
      </c>
      <c r="G40" s="2" t="n"/>
      <c r="H40" s="2" t="n"/>
    </row>
    <row r="41">
      <c r="A41" s="8" t="inlineStr">
        <is>
          <t>DUITAMA</t>
        </is>
      </c>
      <c r="B41" s="8" t="inlineStr">
        <is>
          <t>070007902</t>
        </is>
      </c>
      <c r="C41" s="9" t="n">
        <v>25803</v>
      </c>
      <c r="D41" s="9" t="n">
        <v>26073</v>
      </c>
      <c r="E41" s="9" t="n">
        <v>51876</v>
      </c>
      <c r="F41" s="13" t="n">
        <v>1.010463899546564</v>
      </c>
      <c r="G41" s="2" t="n"/>
      <c r="H41" s="2" t="n"/>
    </row>
    <row r="42">
      <c r="A42" s="6" t="inlineStr">
        <is>
          <t>DUITAMA</t>
        </is>
      </c>
      <c r="B42" s="6" t="inlineStr">
        <is>
          <t>070007990</t>
        </is>
      </c>
      <c r="C42" s="7" t="n">
        <v>3080</v>
      </c>
      <c r="D42" s="7" t="n">
        <v>2970</v>
      </c>
      <c r="E42" s="7" t="n">
        <v>6050</v>
      </c>
      <c r="F42" s="12" t="n">
        <v>0.9642857142857143</v>
      </c>
      <c r="G42" s="2" t="n"/>
      <c r="H42" s="2" t="n"/>
    </row>
    <row r="43">
      <c r="A43" s="8" t="inlineStr">
        <is>
          <t>DUITAMA</t>
        </is>
      </c>
      <c r="B43" s="8" t="inlineStr">
        <is>
          <t>070007998</t>
        </is>
      </c>
      <c r="C43" s="9" t="n">
        <v>25</v>
      </c>
      <c r="D43" s="9" t="n">
        <v>38</v>
      </c>
      <c r="E43" s="9" t="n">
        <v>63</v>
      </c>
      <c r="F43" s="13" t="n">
        <v>1.52</v>
      </c>
      <c r="G43" s="2" t="n"/>
      <c r="H43" s="2" t="n"/>
    </row>
    <row r="44">
      <c r="A44" s="6" t="inlineStr">
        <is>
          <t>DUITAMA</t>
        </is>
      </c>
      <c r="B44" s="6" t="inlineStr">
        <is>
          <t>070007999</t>
        </is>
      </c>
      <c r="C44" s="7" t="n">
        <v>3738</v>
      </c>
      <c r="D44" s="7" t="n">
        <v>3730</v>
      </c>
      <c r="E44" s="7" t="n">
        <v>7468</v>
      </c>
      <c r="F44" s="12" t="n">
        <v>0.9978598180845372</v>
      </c>
      <c r="G44" s="2" t="n"/>
      <c r="H44" s="2" t="n"/>
    </row>
    <row r="45">
      <c r="A45" s="8" t="inlineStr">
        <is>
          <t>PAIPA</t>
        </is>
      </c>
      <c r="B45" s="8" t="inlineStr">
        <is>
          <t>070018101</t>
        </is>
      </c>
      <c r="C45" s="9" t="n">
        <v>7218</v>
      </c>
      <c r="D45" s="9" t="n">
        <v>7221</v>
      </c>
      <c r="E45" s="9" t="n">
        <v>14439</v>
      </c>
      <c r="F45" s="13" t="n">
        <v>1.000415627597673</v>
      </c>
      <c r="G45" s="2" t="n"/>
      <c r="H45" s="2" t="n"/>
    </row>
    <row r="46">
      <c r="A46" s="6" t="inlineStr">
        <is>
          <t>PAIPA</t>
        </is>
      </c>
      <c r="B46" s="6" t="inlineStr">
        <is>
          <t>070018102</t>
        </is>
      </c>
      <c r="C46" s="7" t="n">
        <v>8462</v>
      </c>
      <c r="D46" s="7" t="n">
        <v>8075</v>
      </c>
      <c r="E46" s="7" t="n">
        <v>16537</v>
      </c>
      <c r="F46" s="12" t="n">
        <v>0.9542661309383125</v>
      </c>
      <c r="G46" s="2" t="n"/>
      <c r="H46" s="2" t="n"/>
    </row>
    <row r="47">
      <c r="A47" s="8" t="inlineStr">
        <is>
          <t>PAIPA</t>
        </is>
      </c>
      <c r="B47" s="8" t="inlineStr">
        <is>
          <t>070018199</t>
        </is>
      </c>
      <c r="C47" s="9" t="n">
        <v>1127</v>
      </c>
      <c r="D47" s="9" t="n">
        <v>1097</v>
      </c>
      <c r="E47" s="9" t="n">
        <v>2224</v>
      </c>
      <c r="F47" s="13" t="n">
        <v>0.9733806566104702</v>
      </c>
      <c r="G47" s="2" t="n"/>
      <c r="H47" s="2" t="n"/>
    </row>
    <row r="48">
      <c r="A48" s="6" t="inlineStr">
        <is>
          <t>SOGAMOSO</t>
        </is>
      </c>
      <c r="B48" s="6" t="inlineStr">
        <is>
          <t>070027701</t>
        </is>
      </c>
      <c r="C48" s="7" t="n">
        <v>19732</v>
      </c>
      <c r="D48" s="7" t="n">
        <v>19860</v>
      </c>
      <c r="E48" s="7" t="n">
        <v>39592</v>
      </c>
      <c r="F48" s="12" t="n">
        <v>1.006486924792216</v>
      </c>
      <c r="G48" s="2" t="n"/>
      <c r="H48" s="2" t="n"/>
    </row>
    <row r="49">
      <c r="A49" s="8" t="inlineStr">
        <is>
          <t>SOGAMOSO</t>
        </is>
      </c>
      <c r="B49" s="8" t="inlineStr">
        <is>
          <t>070027702</t>
        </is>
      </c>
      <c r="C49" s="9" t="n">
        <v>27478</v>
      </c>
      <c r="D49" s="9" t="n">
        <v>27316</v>
      </c>
      <c r="E49" s="9" t="n">
        <v>54794</v>
      </c>
      <c r="F49" s="13" t="n">
        <v>0.9941043744086178</v>
      </c>
      <c r="G49" s="2" t="n"/>
      <c r="H49" s="2" t="n"/>
    </row>
    <row r="50">
      <c r="A50" s="6" t="inlineStr">
        <is>
          <t>SOGAMOSO</t>
        </is>
      </c>
      <c r="B50" s="6" t="inlineStr">
        <is>
          <t>070027790</t>
        </is>
      </c>
      <c r="C50" s="7" t="n">
        <v>2877</v>
      </c>
      <c r="D50" s="7" t="n">
        <v>2856</v>
      </c>
      <c r="E50" s="7" t="n">
        <v>5733</v>
      </c>
      <c r="F50" s="12" t="n">
        <v>0.9927007299270073</v>
      </c>
      <c r="G50" s="2" t="n"/>
      <c r="H50" s="2" t="n"/>
    </row>
    <row r="51">
      <c r="A51" s="8" t="inlineStr">
        <is>
          <t>SOGAMOSO</t>
        </is>
      </c>
      <c r="B51" s="8" t="inlineStr">
        <is>
          <t>070027798</t>
        </is>
      </c>
      <c r="C51" s="9" t="n">
        <v>30</v>
      </c>
      <c r="D51" s="9" t="n">
        <v>33</v>
      </c>
      <c r="E51" s="9" t="n">
        <v>63</v>
      </c>
      <c r="F51" s="13" t="n">
        <v>1.1</v>
      </c>
      <c r="G51" s="2" t="n"/>
      <c r="H51" s="2" t="n"/>
    </row>
    <row r="52">
      <c r="A52" s="6" t="inlineStr">
        <is>
          <t>SOGAMOSO</t>
        </is>
      </c>
      <c r="B52" s="6" t="inlineStr">
        <is>
          <t>070027799</t>
        </is>
      </c>
      <c r="C52" s="7" t="n">
        <v>764</v>
      </c>
      <c r="D52" s="7" t="n">
        <v>782</v>
      </c>
      <c r="E52" s="7" t="n">
        <v>1546</v>
      </c>
      <c r="F52" s="12" t="n">
        <v>1.023560209424084</v>
      </c>
      <c r="G52" s="2" t="n"/>
      <c r="H52" s="2" t="n"/>
    </row>
    <row r="53">
      <c r="A53" s="8" t="inlineStr">
        <is>
          <t>TUNJA</t>
        </is>
      </c>
      <c r="B53" s="8" t="inlineStr">
        <is>
          <t>070000101</t>
        </is>
      </c>
      <c r="C53" s="9" t="n">
        <v>22319</v>
      </c>
      <c r="D53" s="9" t="n">
        <v>22940</v>
      </c>
      <c r="E53" s="9" t="n">
        <v>45259</v>
      </c>
      <c r="F53" s="13" t="n">
        <v>1.027823827232403</v>
      </c>
      <c r="G53" s="2" t="n"/>
      <c r="H53" s="2" t="n"/>
    </row>
    <row r="54">
      <c r="A54" s="6" t="inlineStr">
        <is>
          <t>TUNJA</t>
        </is>
      </c>
      <c r="B54" s="6" t="inlineStr">
        <is>
          <t>070000102</t>
        </is>
      </c>
      <c r="C54" s="7" t="n">
        <v>27186</v>
      </c>
      <c r="D54" s="7" t="n">
        <v>27632</v>
      </c>
      <c r="E54" s="7" t="n">
        <v>54818</v>
      </c>
      <c r="F54" s="12" t="n">
        <v>1.01640550283234</v>
      </c>
      <c r="G54" s="2" t="n"/>
      <c r="H54" s="2" t="n"/>
    </row>
    <row r="55">
      <c r="A55" s="8" t="inlineStr">
        <is>
          <t>TUNJA</t>
        </is>
      </c>
      <c r="B55" s="8" t="inlineStr">
        <is>
          <t>070000103</t>
        </is>
      </c>
      <c r="C55" s="9" t="n">
        <v>18926</v>
      </c>
      <c r="D55" s="9" t="n">
        <v>19679</v>
      </c>
      <c r="E55" s="9" t="n">
        <v>38605</v>
      </c>
      <c r="F55" s="13" t="n">
        <v>1.039786537038994</v>
      </c>
      <c r="G55" s="2" t="n"/>
      <c r="H55" s="2" t="n"/>
    </row>
    <row r="56">
      <c r="A56" s="6" t="inlineStr">
        <is>
          <t>TUNJA</t>
        </is>
      </c>
      <c r="B56" s="6" t="inlineStr">
        <is>
          <t>070000190</t>
        </is>
      </c>
      <c r="C56" s="7" t="n">
        <v>3811</v>
      </c>
      <c r="D56" s="7" t="n">
        <v>3773</v>
      </c>
      <c r="E56" s="7" t="n">
        <v>7584</v>
      </c>
      <c r="F56" s="12" t="n">
        <v>0.9900288638152716</v>
      </c>
      <c r="G56" s="2" t="n"/>
      <c r="H56" s="2" t="n"/>
    </row>
    <row r="57">
      <c r="A57" s="8" t="inlineStr">
        <is>
          <t>TUNJA</t>
        </is>
      </c>
      <c r="B57" s="8" t="inlineStr">
        <is>
          <t>070000198</t>
        </is>
      </c>
      <c r="C57" s="9" t="n">
        <v>28</v>
      </c>
      <c r="D57" s="9" t="n">
        <v>26</v>
      </c>
      <c r="E57" s="9" t="n">
        <v>54</v>
      </c>
      <c r="F57" s="13" t="n">
        <v>0.9285714285714286</v>
      </c>
      <c r="G57" s="2" t="n"/>
      <c r="H57" s="2" t="n"/>
    </row>
    <row r="58">
      <c r="A58" s="6" t="inlineStr">
        <is>
          <t>TUNJA</t>
        </is>
      </c>
      <c r="B58" s="6" t="inlineStr">
        <is>
          <t>070000199</t>
        </is>
      </c>
      <c r="C58" s="7" t="n">
        <v>191</v>
      </c>
      <c r="D58" s="7" t="n">
        <v>193</v>
      </c>
      <c r="E58" s="7" t="n">
        <v>384</v>
      </c>
      <c r="F58" s="12" t="n">
        <v>1.010471204188482</v>
      </c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07B00"/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33" customWidth="1" min="3" max="3"/>
    <col width="20" customWidth="1" min="4" max="4"/>
    <col width="10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TOP CANDIDATOS - CAMARA DE REPRESENTANTES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Ranking por votos en cada municipio | Preconteo Congreso 2026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>
      <c r="A4" s="5" t="inlineStr">
        <is>
          <t>Municipio</t>
        </is>
      </c>
      <c r="B4" s="5" t="inlineStr">
        <is>
          <t>Ranking</t>
        </is>
      </c>
      <c r="C4" s="5" t="inlineStr">
        <is>
          <t>Candidato</t>
        </is>
      </c>
      <c r="D4" s="5" t="inlineStr">
        <is>
          <t>Partido</t>
        </is>
      </c>
      <c r="E4" s="5" t="inlineStr">
        <is>
          <t>Votos</t>
        </is>
      </c>
      <c r="F4" s="5" t="inlineStr">
        <is>
          <t>% del Municipio</t>
        </is>
      </c>
      <c r="G4" s="5" t="inlineStr">
        <is>
          <t>% del Partido</t>
        </is>
      </c>
      <c r="H4" s="5" t="inlineStr">
        <is>
          <t>Cedula</t>
        </is>
      </c>
    </row>
    <row r="5">
      <c r="A5" s="8" t="inlineStr">
        <is>
          <t>TUNJA</t>
        </is>
      </c>
      <c r="B5" s="9" t="n">
        <v>1</v>
      </c>
      <c r="C5" s="8" t="inlineStr">
        <is>
          <t>Ramiro Barragan Adame</t>
        </is>
      </c>
      <c r="D5" s="8" t="inlineStr">
        <is>
          <t>Alianza Verde</t>
        </is>
      </c>
      <c r="E5" s="9" t="n">
        <v>4294</v>
      </c>
      <c r="F5" s="10" t="n">
        <v>0.05925946371151378</v>
      </c>
      <c r="G5" s="10" t="n">
        <v>0.2711543319019954</v>
      </c>
      <c r="H5" s="8" t="inlineStr">
        <is>
          <t>4179276</t>
        </is>
      </c>
    </row>
    <row r="6">
      <c r="A6" s="6" t="inlineStr">
        <is>
          <t>TUNJA</t>
        </is>
      </c>
      <c r="B6" s="7" t="n">
        <v>2</v>
      </c>
      <c r="C6" s="6" t="inlineStr">
        <is>
          <t>Jaime Raul Salamanca Torres</t>
        </is>
      </c>
      <c r="D6" s="6" t="inlineStr">
        <is>
          <t>Alianza Verde</t>
        </is>
      </c>
      <c r="E6" s="7" t="n">
        <v>3986</v>
      </c>
      <c r="F6" s="11" t="n">
        <v>0.05500890134003119</v>
      </c>
      <c r="G6" s="11" t="n">
        <v>0.2517049760040414</v>
      </c>
      <c r="H6" s="6" t="inlineStr">
        <is>
          <t>4265546</t>
        </is>
      </c>
    </row>
    <row r="7">
      <c r="A7" s="8" t="inlineStr">
        <is>
          <t>TUNJA</t>
        </is>
      </c>
      <c r="B7" s="9" t="n">
        <v>3</v>
      </c>
      <c r="C7" s="8" t="inlineStr">
        <is>
          <t>Yamit Noe Hurtado Neira</t>
        </is>
      </c>
      <c r="D7" s="8" t="inlineStr">
        <is>
          <t>Alianza Verde</t>
        </is>
      </c>
      <c r="E7" s="9" t="n">
        <v>3933</v>
      </c>
      <c r="F7" s="10" t="n">
        <v>0.05427747339948386</v>
      </c>
      <c r="G7" s="10" t="n">
        <v>0.2483581712553675</v>
      </c>
      <c r="H7" s="8" t="inlineStr">
        <is>
          <t>74359856</t>
        </is>
      </c>
    </row>
    <row r="8">
      <c r="A8" s="6" t="inlineStr">
        <is>
          <t>TUNJA</t>
        </is>
      </c>
      <c r="B8" s="7" t="n">
        <v>4</v>
      </c>
      <c r="C8" s="6" t="inlineStr">
        <is>
          <t>Ingrid Marlen Sogamoso Alfonso</t>
        </is>
      </c>
      <c r="D8" s="6" t="inlineStr">
        <is>
          <t>Partido 121</t>
        </is>
      </c>
      <c r="E8" s="7" t="n">
        <v>2903</v>
      </c>
      <c r="F8" s="11" t="n">
        <v>0.04006293040394143</v>
      </c>
      <c r="G8" s="11" t="n">
        <v>0.2879674635452832</v>
      </c>
      <c r="H8" s="6" t="inlineStr">
        <is>
          <t>1048848191</t>
        </is>
      </c>
    </row>
    <row r="9">
      <c r="A9" s="8" t="inlineStr">
        <is>
          <t>TUNJA</t>
        </is>
      </c>
      <c r="B9" s="9" t="n">
        <v>5</v>
      </c>
      <c r="C9" s="8" t="inlineStr">
        <is>
          <t>Fabian Camilo Rojas Barrera</t>
        </is>
      </c>
      <c r="D9" s="8" t="inlineStr">
        <is>
          <t>Partido 122</t>
        </is>
      </c>
      <c r="E9" s="9" t="n">
        <v>2848</v>
      </c>
      <c r="F9" s="10" t="n">
        <v>0.03930390140903382</v>
      </c>
      <c r="G9" s="10" t="n">
        <v>0.4245676803816339</v>
      </c>
      <c r="H9" s="8" t="inlineStr">
        <is>
          <t>1010168043</t>
        </is>
      </c>
    </row>
    <row r="10">
      <c r="A10" s="6" t="inlineStr">
        <is>
          <t>TUNJA</t>
        </is>
      </c>
      <c r="B10" s="7" t="n">
        <v>6</v>
      </c>
      <c r="C10" s="6" t="inlineStr">
        <is>
          <t>Wilder Ivan Suesca Ochoa</t>
        </is>
      </c>
      <c r="D10" s="6" t="inlineStr">
        <is>
          <t>Partido 121</t>
        </is>
      </c>
      <c r="E10" s="7" t="n">
        <v>2756</v>
      </c>
      <c r="F10" s="11" t="n">
        <v>0.0380342529084611</v>
      </c>
      <c r="G10" s="11" t="n">
        <v>0.2733855768276957</v>
      </c>
      <c r="H10" s="6" t="inlineStr">
        <is>
          <t>4288034</t>
        </is>
      </c>
    </row>
    <row r="11">
      <c r="A11" s="8" t="inlineStr">
        <is>
          <t>TUNJA</t>
        </is>
      </c>
      <c r="B11" s="9" t="n">
        <v>7</v>
      </c>
      <c r="C11" s="8" t="inlineStr">
        <is>
          <t>Hector David Chaparro Chaparro</t>
        </is>
      </c>
      <c r="D11" s="8" t="inlineStr">
        <is>
          <t>Conservador</t>
        </is>
      </c>
      <c r="E11" s="9" t="n">
        <v>2341</v>
      </c>
      <c r="F11" s="10" t="n">
        <v>0.03230703412870372</v>
      </c>
      <c r="G11" s="10" t="n">
        <v>0.3485705777248362</v>
      </c>
      <c r="H11" s="8" t="inlineStr">
        <is>
          <t>1052378776</t>
        </is>
      </c>
    </row>
    <row r="12">
      <c r="A12" s="6" t="inlineStr">
        <is>
          <t>TUNJA</t>
        </is>
      </c>
      <c r="B12" s="7" t="n">
        <v>8</v>
      </c>
      <c r="C12" s="6" t="inlineStr">
        <is>
          <t>Jose Dario Mahecha Castillo</t>
        </is>
      </c>
      <c r="D12" s="6" t="inlineStr">
        <is>
          <t>Partido 121</t>
        </is>
      </c>
      <c r="E12" s="7" t="n">
        <v>2242</v>
      </c>
      <c r="F12" s="11" t="n">
        <v>0.03094078193787003</v>
      </c>
      <c r="G12" s="11" t="n">
        <v>0.2223985715702807</v>
      </c>
      <c r="H12" s="6" t="inlineStr">
        <is>
          <t>79645378</t>
        </is>
      </c>
    </row>
    <row r="13">
      <c r="A13" s="8" t="inlineStr">
        <is>
          <t>TUNJA</t>
        </is>
      </c>
      <c r="B13" s="9" t="n">
        <v>9</v>
      </c>
      <c r="C13" s="8" t="inlineStr">
        <is>
          <t>Oscar Leonardo Avila Romero</t>
        </is>
      </c>
      <c r="D13" s="8" t="inlineStr">
        <is>
          <t>Conservador</t>
        </is>
      </c>
      <c r="E13" s="9" t="n">
        <v>2180</v>
      </c>
      <c r="F13" s="10" t="n">
        <v>0.03008514925270145</v>
      </c>
      <c r="G13" s="10" t="n">
        <v>0.3245979749851102</v>
      </c>
      <c r="H13" s="8" t="inlineStr">
        <is>
          <t>1051210172</t>
        </is>
      </c>
    </row>
    <row r="14">
      <c r="A14" s="6" t="inlineStr">
        <is>
          <t>TUNJA</t>
        </is>
      </c>
      <c r="B14" s="7" t="n">
        <v>10</v>
      </c>
      <c r="C14" s="6" t="inlineStr">
        <is>
          <t>Jairo Enrique Castiblanco Parra</t>
        </is>
      </c>
      <c r="D14" s="6" t="inlineStr">
        <is>
          <t>Partido 120</t>
        </is>
      </c>
      <c r="E14" s="7" t="n">
        <v>1911</v>
      </c>
      <c r="F14" s="11" t="n">
        <v>0.02637280744124425</v>
      </c>
      <c r="G14" s="11" t="n">
        <v>0.5096000000000001</v>
      </c>
      <c r="H14" s="6" t="inlineStr">
        <is>
          <t>4235028</t>
        </is>
      </c>
    </row>
    <row r="15">
      <c r="A15" s="8" t="inlineStr">
        <is>
          <t>TUNJA</t>
        </is>
      </c>
      <c r="B15" s="9" t="n">
        <v>11</v>
      </c>
      <c r="C15" s="8" t="inlineStr">
        <is>
          <t>Eduar Alexis Triana Rincon</t>
        </is>
      </c>
      <c r="D15" s="8" t="inlineStr">
        <is>
          <t>Centro Democrático</t>
        </is>
      </c>
      <c r="E15" s="9" t="n">
        <v>1730</v>
      </c>
      <c r="F15" s="10" t="n">
        <v>0.02387491202163923</v>
      </c>
      <c r="G15" s="10" t="n">
        <v>0.2236297828335057</v>
      </c>
      <c r="H15" s="8" t="inlineStr">
        <is>
          <t>1032398664</t>
        </is>
      </c>
    </row>
    <row r="16">
      <c r="A16" s="6" t="inlineStr">
        <is>
          <t>TUNJA</t>
        </is>
      </c>
      <c r="B16" s="7" t="n">
        <v>12</v>
      </c>
      <c r="C16" s="6" t="inlineStr">
        <is>
          <t>Vivian Andrea Nieto Florez</t>
        </is>
      </c>
      <c r="D16" s="6" t="inlineStr">
        <is>
          <t>Alianza Verde</t>
        </is>
      </c>
      <c r="E16" s="7" t="n">
        <v>1495</v>
      </c>
      <c r="F16" s="11" t="n">
        <v>0.02063178813430673</v>
      </c>
      <c r="G16" s="11" t="n">
        <v>0.09440515281636777</v>
      </c>
      <c r="H16" s="6" t="inlineStr">
        <is>
          <t>1010169459</t>
        </is>
      </c>
    </row>
    <row r="17">
      <c r="A17" s="8" t="inlineStr">
        <is>
          <t>TUNJA</t>
        </is>
      </c>
      <c r="B17" s="9" t="n">
        <v>13</v>
      </c>
      <c r="C17" s="8" t="inlineStr">
        <is>
          <t>Vicente Anibal Ojeda Martinez</t>
        </is>
      </c>
      <c r="D17" s="8" t="inlineStr">
        <is>
          <t>Partido 122</t>
        </is>
      </c>
      <c r="E17" s="9" t="n">
        <v>1450</v>
      </c>
      <c r="F17" s="10" t="n">
        <v>0.02001076441120051</v>
      </c>
      <c r="G17" s="10" t="n">
        <v>0.216159809183065</v>
      </c>
      <c r="H17" s="8" t="inlineStr">
        <is>
          <t>7178169</t>
        </is>
      </c>
    </row>
    <row r="18">
      <c r="A18" s="6" t="inlineStr">
        <is>
          <t>TUNJA</t>
        </is>
      </c>
      <c r="B18" s="7" t="n">
        <v>14</v>
      </c>
      <c r="C18" s="6" t="inlineStr">
        <is>
          <t>Jicly Esgardo Mutis Isaza</t>
        </is>
      </c>
      <c r="D18" s="6" t="inlineStr">
        <is>
          <t>Centro Democrático</t>
        </is>
      </c>
      <c r="E18" s="7" t="n">
        <v>1315</v>
      </c>
      <c r="F18" s="11" t="n">
        <v>0.01814769324188184</v>
      </c>
      <c r="G18" s="11" t="n">
        <v>0.1699844881075491</v>
      </c>
      <c r="H18" s="6" t="inlineStr">
        <is>
          <t>98637590</t>
        </is>
      </c>
    </row>
    <row r="19">
      <c r="A19" s="8" t="inlineStr">
        <is>
          <t>TUNJA</t>
        </is>
      </c>
      <c r="B19" s="9" t="n">
        <v>15</v>
      </c>
      <c r="C19" s="8" t="inlineStr">
        <is>
          <t>Diana Paola Herrera Nuñez</t>
        </is>
      </c>
      <c r="D19" s="8" t="inlineStr">
        <is>
          <t>Conservador</t>
        </is>
      </c>
      <c r="E19" s="9" t="n">
        <v>1148</v>
      </c>
      <c r="F19" s="10" t="n">
        <v>0.01584300520279875</v>
      </c>
      <c r="G19" s="10" t="n">
        <v>0.170935080405003</v>
      </c>
      <c r="H19" s="8" t="inlineStr">
        <is>
          <t>1053587031</t>
        </is>
      </c>
    </row>
    <row r="20">
      <c r="A20" s="6" t="inlineStr">
        <is>
          <t>DUITAMA</t>
        </is>
      </c>
      <c r="B20" s="7" t="n">
        <v>1</v>
      </c>
      <c r="C20" s="6" t="inlineStr">
        <is>
          <t>Hector David Chaparro Chaparro</t>
        </is>
      </c>
      <c r="D20" s="6" t="inlineStr">
        <is>
          <t>Conservador</t>
        </is>
      </c>
      <c r="E20" s="7" t="n">
        <v>4559</v>
      </c>
      <c r="F20" s="11" t="n">
        <v>0.09461057961690912</v>
      </c>
      <c r="G20" s="11" t="n">
        <v>0.7131237290786798</v>
      </c>
      <c r="H20" s="6" t="inlineStr">
        <is>
          <t>1052378776</t>
        </is>
      </c>
    </row>
    <row r="21">
      <c r="A21" s="8" t="inlineStr">
        <is>
          <t>DUITAMA</t>
        </is>
      </c>
      <c r="B21" s="9" t="n">
        <v>2</v>
      </c>
      <c r="C21" s="8" t="inlineStr">
        <is>
          <t>Jaime Raul Salamanca Torres</t>
        </is>
      </c>
      <c r="D21" s="8" t="inlineStr">
        <is>
          <t>Alianza Verde</t>
        </is>
      </c>
      <c r="E21" s="9" t="n">
        <v>2198</v>
      </c>
      <c r="F21" s="10" t="n">
        <v>0.04561396227198207</v>
      </c>
      <c r="G21" s="10" t="n">
        <v>0.3377900722299063</v>
      </c>
      <c r="H21" s="8" t="inlineStr">
        <is>
          <t>4265546</t>
        </is>
      </c>
    </row>
    <row r="22">
      <c r="A22" s="6" t="inlineStr">
        <is>
          <t>DUITAMA</t>
        </is>
      </c>
      <c r="B22" s="7" t="n">
        <v>3</v>
      </c>
      <c r="C22" s="6" t="inlineStr">
        <is>
          <t>Hernel David Ortega Gomez</t>
        </is>
      </c>
      <c r="D22" s="6" t="inlineStr">
        <is>
          <t>Partido 121</t>
        </is>
      </c>
      <c r="E22" s="7" t="n">
        <v>1558</v>
      </c>
      <c r="F22" s="11" t="n">
        <v>0.03233237180152324</v>
      </c>
      <c r="G22" s="11" t="n">
        <v>0.2791114295951272</v>
      </c>
      <c r="H22" s="6" t="inlineStr">
        <is>
          <t>1052394331</t>
        </is>
      </c>
    </row>
    <row r="23">
      <c r="A23" s="8" t="inlineStr">
        <is>
          <t>DUITAMA</t>
        </is>
      </c>
      <c r="B23" s="9" t="n">
        <v>4</v>
      </c>
      <c r="C23" s="8" t="inlineStr">
        <is>
          <t>Ramiro Barragan Adame</t>
        </is>
      </c>
      <c r="D23" s="8" t="inlineStr">
        <is>
          <t>Alianza Verde</t>
        </is>
      </c>
      <c r="E23" s="9" t="n">
        <v>1518</v>
      </c>
      <c r="F23" s="10" t="n">
        <v>0.03150227239711956</v>
      </c>
      <c r="G23" s="10" t="n">
        <v>0.2332872291378515</v>
      </c>
      <c r="H23" s="8" t="inlineStr">
        <is>
          <t>4179276</t>
        </is>
      </c>
    </row>
    <row r="24">
      <c r="A24" s="6" t="inlineStr">
        <is>
          <t>DUITAMA</t>
        </is>
      </c>
      <c r="B24" s="7" t="n">
        <v>5</v>
      </c>
      <c r="C24" s="6" t="inlineStr">
        <is>
          <t>Yamit Noe Hurtado Neira</t>
        </is>
      </c>
      <c r="D24" s="6" t="inlineStr">
        <is>
          <t>Alianza Verde</t>
        </is>
      </c>
      <c r="E24" s="7" t="n">
        <v>1316</v>
      </c>
      <c r="F24" s="11" t="n">
        <v>0.02731027040488098</v>
      </c>
      <c r="G24" s="11" t="n">
        <v>0.2022437375134471</v>
      </c>
      <c r="H24" s="6" t="inlineStr">
        <is>
          <t>74359856</t>
        </is>
      </c>
    </row>
    <row r="25">
      <c r="A25" s="8" t="inlineStr">
        <is>
          <t>DUITAMA</t>
        </is>
      </c>
      <c r="B25" s="9" t="n">
        <v>6</v>
      </c>
      <c r="C25" s="8" t="inlineStr">
        <is>
          <t>Ingrid Marlen Sogamoso Alfonso</t>
        </is>
      </c>
      <c r="D25" s="8" t="inlineStr">
        <is>
          <t>Partido 121</t>
        </is>
      </c>
      <c r="E25" s="9" t="n">
        <v>1148</v>
      </c>
      <c r="F25" s="10" t="n">
        <v>0.02382385290638554</v>
      </c>
      <c r="G25" s="10" t="n">
        <v>0.2056610533858832</v>
      </c>
      <c r="H25" s="8" t="inlineStr">
        <is>
          <t>1048848191</t>
        </is>
      </c>
    </row>
    <row r="26">
      <c r="A26" s="6" t="inlineStr">
        <is>
          <t>DUITAMA</t>
        </is>
      </c>
      <c r="B26" s="7" t="n">
        <v>7</v>
      </c>
      <c r="C26" s="6" t="inlineStr">
        <is>
          <t>Nancy Yaneth Zapata Pachon</t>
        </is>
      </c>
      <c r="D26" s="6" t="inlineStr">
        <is>
          <t>Partido 120</t>
        </is>
      </c>
      <c r="E26" s="7" t="n">
        <v>1136</v>
      </c>
      <c r="F26" s="11" t="n">
        <v>0.02357482308506444</v>
      </c>
      <c r="G26" s="11" t="n">
        <v>0.4771104577908442</v>
      </c>
      <c r="H26" s="6" t="inlineStr">
        <is>
          <t>1053341162</t>
        </is>
      </c>
    </row>
    <row r="27">
      <c r="A27" s="8" t="inlineStr">
        <is>
          <t>DUITAMA</t>
        </is>
      </c>
      <c r="B27" s="9" t="n">
        <v>8</v>
      </c>
      <c r="C27" s="8" t="inlineStr">
        <is>
          <t>Jicly Esgardo Mutis Isaza</t>
        </is>
      </c>
      <c r="D27" s="8" t="inlineStr">
        <is>
          <t>Centro Democrático</t>
        </is>
      </c>
      <c r="E27" s="9" t="n">
        <v>1064</v>
      </c>
      <c r="F27" s="10" t="n">
        <v>0.02208064415713782</v>
      </c>
      <c r="G27" s="10" t="n">
        <v>0.1902377972465582</v>
      </c>
      <c r="H27" s="8" t="inlineStr">
        <is>
          <t>98637590</t>
        </is>
      </c>
    </row>
    <row r="28">
      <c r="A28" s="6" t="inlineStr">
        <is>
          <t>DUITAMA</t>
        </is>
      </c>
      <c r="B28" s="7" t="n">
        <v>9</v>
      </c>
      <c r="C28" s="6" t="inlineStr">
        <is>
          <t>Eduar Alexis Triana Rincon</t>
        </is>
      </c>
      <c r="D28" s="6" t="inlineStr">
        <is>
          <t>Centro Democrático</t>
        </is>
      </c>
      <c r="E28" s="7" t="n">
        <v>924</v>
      </c>
      <c r="F28" s="11" t="n">
        <v>0.01917529624172495</v>
      </c>
      <c r="G28" s="11" t="n">
        <v>0.165206508135169</v>
      </c>
      <c r="H28" s="6" t="inlineStr">
        <is>
          <t>1032398664</t>
        </is>
      </c>
    </row>
    <row r="29">
      <c r="A29" s="8" t="inlineStr">
        <is>
          <t>DUITAMA</t>
        </is>
      </c>
      <c r="B29" s="9" t="n">
        <v>10</v>
      </c>
      <c r="C29" s="8" t="inlineStr">
        <is>
          <t>Jose Dario Mahecha Castillo</t>
        </is>
      </c>
      <c r="D29" s="8" t="inlineStr">
        <is>
          <t>Partido 121</t>
        </is>
      </c>
      <c r="E29" s="9" t="n">
        <v>920</v>
      </c>
      <c r="F29" s="10" t="n">
        <v>0.01909228630128458</v>
      </c>
      <c r="G29" s="10" t="n">
        <v>0.1648154783231817</v>
      </c>
      <c r="H29" s="8" t="inlineStr">
        <is>
          <t>79645378</t>
        </is>
      </c>
    </row>
    <row r="30">
      <c r="A30" s="6" t="inlineStr">
        <is>
          <t>DUITAMA</t>
        </is>
      </c>
      <c r="B30" s="7" t="n">
        <v>11</v>
      </c>
      <c r="C30" s="6" t="inlineStr">
        <is>
          <t>Delci Del Carmen Urbano</t>
        </is>
      </c>
      <c r="D30" s="6" t="inlineStr">
        <is>
          <t>Centro Democrático</t>
        </is>
      </c>
      <c r="E30" s="7" t="n">
        <v>887</v>
      </c>
      <c r="F30" s="11" t="n">
        <v>0.01840745429265155</v>
      </c>
      <c r="G30" s="11" t="n">
        <v>0.1585910960128732</v>
      </c>
      <c r="H30" s="6" t="inlineStr">
        <is>
          <t>46367437</t>
        </is>
      </c>
    </row>
    <row r="31">
      <c r="A31" s="8" t="inlineStr">
        <is>
          <t>DUITAMA</t>
        </is>
      </c>
      <c r="B31" s="9" t="n">
        <v>12</v>
      </c>
      <c r="C31" s="8" t="inlineStr">
        <is>
          <t>Jairo Enrique Castiblanco Parra</t>
        </is>
      </c>
      <c r="D31" s="8" t="inlineStr">
        <is>
          <t>Partido 120</t>
        </is>
      </c>
      <c r="E31" s="9" t="n">
        <v>871</v>
      </c>
      <c r="F31" s="10" t="n">
        <v>0.01807541453089007</v>
      </c>
      <c r="G31" s="10" t="n">
        <v>0.3658126837463251</v>
      </c>
      <c r="H31" s="8" t="inlineStr">
        <is>
          <t>4235028</t>
        </is>
      </c>
    </row>
    <row r="32">
      <c r="A32" s="6" t="inlineStr">
        <is>
          <t>DUITAMA</t>
        </is>
      </c>
      <c r="B32" s="7" t="n">
        <v>13</v>
      </c>
      <c r="C32" s="6" t="inlineStr">
        <is>
          <t>Wilder Ivan Suesca Ochoa</t>
        </is>
      </c>
      <c r="D32" s="6" t="inlineStr">
        <is>
          <t>Partido 121</t>
        </is>
      </c>
      <c r="E32" s="7" t="n">
        <v>825</v>
      </c>
      <c r="F32" s="11" t="n">
        <v>0.01712080021582585</v>
      </c>
      <c r="G32" s="11" t="n">
        <v>0.1477964887137227</v>
      </c>
      <c r="H32" s="6" t="inlineStr">
        <is>
          <t>4288034</t>
        </is>
      </c>
    </row>
    <row r="33">
      <c r="A33" s="8" t="inlineStr">
        <is>
          <t>DUITAMA</t>
        </is>
      </c>
      <c r="B33" s="9" t="n">
        <v>14</v>
      </c>
      <c r="C33" s="8" t="inlineStr">
        <is>
          <t>Fabian Camilo Rojas Barrera</t>
        </is>
      </c>
      <c r="D33" s="8" t="inlineStr">
        <is>
          <t>Partido 122</t>
        </is>
      </c>
      <c r="E33" s="9" t="n">
        <v>790</v>
      </c>
      <c r="F33" s="10" t="n">
        <v>0.01639446323697263</v>
      </c>
      <c r="G33" s="10" t="n">
        <v>0.2992424242424243</v>
      </c>
      <c r="H33" s="8" t="inlineStr">
        <is>
          <t>1010168043</t>
        </is>
      </c>
    </row>
    <row r="34">
      <c r="A34" s="6" t="inlineStr">
        <is>
          <t>DUITAMA</t>
        </is>
      </c>
      <c r="B34" s="7" t="n">
        <v>15</v>
      </c>
      <c r="C34" s="6" t="inlineStr">
        <is>
          <t>Diana Paola Herrera Nuñez</t>
        </is>
      </c>
      <c r="D34" s="6" t="inlineStr">
        <is>
          <t>Conservador</t>
        </is>
      </c>
      <c r="E34" s="7" t="n">
        <v>708</v>
      </c>
      <c r="F34" s="11" t="n">
        <v>0.01469275945794509</v>
      </c>
      <c r="G34" s="11" t="n">
        <v>0.1107461285781323</v>
      </c>
      <c r="H34" s="6" t="inlineStr">
        <is>
          <t>1053587031</t>
        </is>
      </c>
    </row>
    <row r="35">
      <c r="A35" s="8" t="inlineStr">
        <is>
          <t>SOGAMOSO</t>
        </is>
      </c>
      <c r="B35" s="9" t="n">
        <v>1</v>
      </c>
      <c r="C35" s="8" t="inlineStr">
        <is>
          <t>Hector David Chaparro Chaparro</t>
        </is>
      </c>
      <c r="D35" s="8" t="inlineStr">
        <is>
          <t>Conservador</t>
        </is>
      </c>
      <c r="E35" s="9" t="n">
        <v>5568</v>
      </c>
      <c r="F35" s="10" t="n">
        <v>0.1094318114816926</v>
      </c>
      <c r="G35" s="10" t="n">
        <v>0.5740206185567011</v>
      </c>
      <c r="H35" s="8" t="inlineStr">
        <is>
          <t>1052378776</t>
        </is>
      </c>
    </row>
    <row r="36">
      <c r="A36" s="6" t="inlineStr">
        <is>
          <t>SOGAMOSO</t>
        </is>
      </c>
      <c r="B36" s="7" t="n">
        <v>2</v>
      </c>
      <c r="C36" s="6" t="inlineStr">
        <is>
          <t>Ramiro Barragan Adame</t>
        </is>
      </c>
      <c r="D36" s="6" t="inlineStr">
        <is>
          <t>Alianza Verde</t>
        </is>
      </c>
      <c r="E36" s="7" t="n">
        <v>2771</v>
      </c>
      <c r="F36" s="11" t="n">
        <v>0.05446040761777481</v>
      </c>
      <c r="G36" s="11" t="n">
        <v>0.3426910709868909</v>
      </c>
      <c r="H36" s="6" t="inlineStr">
        <is>
          <t>4179276</t>
        </is>
      </c>
    </row>
    <row r="37">
      <c r="A37" s="8" t="inlineStr">
        <is>
          <t>SOGAMOSO</t>
        </is>
      </c>
      <c r="B37" s="9" t="n">
        <v>3</v>
      </c>
      <c r="C37" s="8" t="inlineStr">
        <is>
          <t>Diana Paola Herrera Nuñez</t>
        </is>
      </c>
      <c r="D37" s="8" t="inlineStr">
        <is>
          <t>Conservador</t>
        </is>
      </c>
      <c r="E37" s="9" t="n">
        <v>1962</v>
      </c>
      <c r="F37" s="10" t="n">
        <v>0.03856056288201883</v>
      </c>
      <c r="G37" s="10" t="n">
        <v>0.2022680412371134</v>
      </c>
      <c r="H37" s="8" t="inlineStr">
        <is>
          <t>1053587031</t>
        </is>
      </c>
    </row>
    <row r="38">
      <c r="A38" s="6" t="inlineStr">
        <is>
          <t>SOGAMOSO</t>
        </is>
      </c>
      <c r="B38" s="7" t="n">
        <v>4</v>
      </c>
      <c r="C38" s="6" t="inlineStr">
        <is>
          <t>Jaime Raul Salamanca Torres</t>
        </is>
      </c>
      <c r="D38" s="6" t="inlineStr">
        <is>
          <t>Alianza Verde</t>
        </is>
      </c>
      <c r="E38" s="7" t="n">
        <v>1757</v>
      </c>
      <c r="F38" s="11" t="n">
        <v>0.03453155401819933</v>
      </c>
      <c r="G38" s="11" t="n">
        <v>0.2172891417264408</v>
      </c>
      <c r="H38" s="6" t="inlineStr">
        <is>
          <t>4265546</t>
        </is>
      </c>
    </row>
    <row r="39">
      <c r="A39" s="8" t="inlineStr">
        <is>
          <t>SOGAMOSO</t>
        </is>
      </c>
      <c r="B39" s="9" t="n">
        <v>5</v>
      </c>
      <c r="C39" s="8" t="inlineStr">
        <is>
          <t>Nadia Alexandra Carreño Avella</t>
        </is>
      </c>
      <c r="D39" s="8" t="inlineStr">
        <is>
          <t>Partido 122</t>
        </is>
      </c>
      <c r="E39" s="9" t="n">
        <v>1736</v>
      </c>
      <c r="F39" s="10" t="n">
        <v>0.03411882628093001</v>
      </c>
      <c r="G39" s="10" t="n">
        <v>0.3942766295707472</v>
      </c>
      <c r="H39" s="8" t="inlineStr">
        <is>
          <t>1098630887</t>
        </is>
      </c>
    </row>
    <row r="40">
      <c r="A40" s="6" t="inlineStr">
        <is>
          <t>SOGAMOSO</t>
        </is>
      </c>
      <c r="B40" s="7" t="n">
        <v>6</v>
      </c>
      <c r="C40" s="6" t="inlineStr">
        <is>
          <t>Fabian Camilo Rojas Barrera</t>
        </is>
      </c>
      <c r="D40" s="6" t="inlineStr">
        <is>
          <t>Partido 122</t>
        </is>
      </c>
      <c r="E40" s="7" t="n">
        <v>1380</v>
      </c>
      <c r="F40" s="11" t="n">
        <v>0.02712210844912639</v>
      </c>
      <c r="G40" s="11" t="n">
        <v>0.3134226663638429</v>
      </c>
      <c r="H40" s="6" t="inlineStr">
        <is>
          <t>1010168043</t>
        </is>
      </c>
    </row>
    <row r="41">
      <c r="A41" s="8" t="inlineStr">
        <is>
          <t>SOGAMOSO</t>
        </is>
      </c>
      <c r="B41" s="9" t="n">
        <v>7</v>
      </c>
      <c r="C41" s="8" t="inlineStr">
        <is>
          <t>Yury Neill Diaz Aranguren</t>
        </is>
      </c>
      <c r="D41" s="8" t="inlineStr">
        <is>
          <t>Partido 120</t>
        </is>
      </c>
      <c r="E41" s="9" t="n">
        <v>1342</v>
      </c>
      <c r="F41" s="10" t="n">
        <v>0.02637526778168668</v>
      </c>
      <c r="G41" s="10" t="n">
        <v>0.2673839410241084</v>
      </c>
      <c r="H41" s="8" t="inlineStr">
        <is>
          <t>74182322</t>
        </is>
      </c>
    </row>
    <row r="42">
      <c r="A42" s="6" t="inlineStr">
        <is>
          <t>SOGAMOSO</t>
        </is>
      </c>
      <c r="B42" s="7" t="n">
        <v>8</v>
      </c>
      <c r="C42" s="6" t="inlineStr">
        <is>
          <t>Jairo Enrique Castiblanco Parra</t>
        </is>
      </c>
      <c r="D42" s="6" t="inlineStr">
        <is>
          <t>Partido 120</t>
        </is>
      </c>
      <c r="E42" s="7" t="n">
        <v>1319</v>
      </c>
      <c r="F42" s="11" t="n">
        <v>0.02592323264086791</v>
      </c>
      <c r="G42" s="11" t="n">
        <v>0.2628013548515641</v>
      </c>
      <c r="H42" s="6" t="inlineStr">
        <is>
          <t>4235028</t>
        </is>
      </c>
    </row>
    <row r="43">
      <c r="A43" s="8" t="inlineStr">
        <is>
          <t>SOGAMOSO</t>
        </is>
      </c>
      <c r="B43" s="9" t="n">
        <v>9</v>
      </c>
      <c r="C43" s="8" t="inlineStr">
        <is>
          <t>Oscar Leonardo Avila Romero</t>
        </is>
      </c>
      <c r="D43" s="8" t="inlineStr">
        <is>
          <t>Conservador</t>
        </is>
      </c>
      <c r="E43" s="9" t="n">
        <v>1237</v>
      </c>
      <c r="F43" s="10" t="n">
        <v>0.02431162909534011</v>
      </c>
      <c r="G43" s="10" t="n">
        <v>0.1275257731958763</v>
      </c>
      <c r="H43" s="8" t="inlineStr">
        <is>
          <t>1051210172</t>
        </is>
      </c>
    </row>
    <row r="44">
      <c r="A44" s="6" t="inlineStr">
        <is>
          <t>SOGAMOSO</t>
        </is>
      </c>
      <c r="B44" s="7" t="n">
        <v>10</v>
      </c>
      <c r="C44" s="6" t="inlineStr">
        <is>
          <t>Yamit Noe Hurtado Neira</t>
        </is>
      </c>
      <c r="D44" s="6" t="inlineStr">
        <is>
          <t>Alianza Verde</t>
        </is>
      </c>
      <c r="E44" s="7" t="n">
        <v>1201</v>
      </c>
      <c r="F44" s="11" t="n">
        <v>0.02360409583144985</v>
      </c>
      <c r="G44" s="11" t="n">
        <v>0.148528320554044</v>
      </c>
      <c r="H44" s="6" t="inlineStr">
        <is>
          <t>74359856</t>
        </is>
      </c>
    </row>
    <row r="45">
      <c r="A45" s="8" t="inlineStr">
        <is>
          <t>SOGAMOSO</t>
        </is>
      </c>
      <c r="B45" s="9" t="n">
        <v>11</v>
      </c>
      <c r="C45" s="8" t="inlineStr">
        <is>
          <t>Jose Dario Mahecha Castillo</t>
        </is>
      </c>
      <c r="D45" s="8" t="inlineStr">
        <is>
          <t>Partido 121</t>
        </is>
      </c>
      <c r="E45" s="9" t="n">
        <v>1079</v>
      </c>
      <c r="F45" s="10" t="n">
        <v>0.02120634421493288</v>
      </c>
      <c r="G45" s="10" t="n">
        <v>0.2535244360902256</v>
      </c>
      <c r="H45" s="8" t="inlineStr">
        <is>
          <t>79645378</t>
        </is>
      </c>
    </row>
    <row r="46">
      <c r="A46" s="6" t="inlineStr">
        <is>
          <t>SOGAMOSO</t>
        </is>
      </c>
      <c r="B46" s="7" t="n">
        <v>12</v>
      </c>
      <c r="C46" s="6" t="inlineStr">
        <is>
          <t>Nancy Yaneth Zapata Pachon</t>
        </is>
      </c>
      <c r="D46" s="6" t="inlineStr">
        <is>
          <t>Partido 120</t>
        </is>
      </c>
      <c r="E46" s="7" t="n">
        <v>1032</v>
      </c>
      <c r="F46" s="11" t="n">
        <v>0.02028262023152061</v>
      </c>
      <c r="G46" s="11" t="n">
        <v>0.2056186491332935</v>
      </c>
      <c r="H46" s="6" t="inlineStr">
        <is>
          <t>1053341162</t>
        </is>
      </c>
    </row>
    <row r="47">
      <c r="A47" s="8" t="inlineStr">
        <is>
          <t>SOGAMOSO</t>
        </is>
      </c>
      <c r="B47" s="9" t="n">
        <v>13</v>
      </c>
      <c r="C47" s="8" t="inlineStr">
        <is>
          <t>Gloria Cecilia Palacios Guastar</t>
        </is>
      </c>
      <c r="D47" s="8" t="inlineStr">
        <is>
          <t>Partido 121</t>
        </is>
      </c>
      <c r="E47" s="9" t="n">
        <v>1023</v>
      </c>
      <c r="F47" s="10" t="n">
        <v>0.02010573691554804</v>
      </c>
      <c r="G47" s="10" t="n">
        <v>0.2403665413533835</v>
      </c>
      <c r="H47" s="8" t="inlineStr">
        <is>
          <t>24166808</t>
        </is>
      </c>
    </row>
    <row r="48">
      <c r="A48" s="6" t="inlineStr">
        <is>
          <t>SOGAMOSO</t>
        </is>
      </c>
      <c r="B48" s="7" t="n">
        <v>14</v>
      </c>
      <c r="C48" s="6" t="inlineStr">
        <is>
          <t>Manuel Steven Alvarez Pulido</t>
        </is>
      </c>
      <c r="D48" s="6" t="inlineStr">
        <is>
          <t>Partido 120</t>
        </is>
      </c>
      <c r="E48" s="7" t="n">
        <v>929</v>
      </c>
      <c r="F48" s="11" t="n">
        <v>0.01825828894872349</v>
      </c>
      <c r="G48" s="11" t="n">
        <v>0.1850966327953776</v>
      </c>
      <c r="H48" s="6" t="inlineStr">
        <is>
          <t>1057578204</t>
        </is>
      </c>
    </row>
    <row r="49">
      <c r="A49" s="8" t="inlineStr">
        <is>
          <t>SOGAMOSO</t>
        </is>
      </c>
      <c r="B49" s="9" t="n">
        <v>15</v>
      </c>
      <c r="C49" s="8" t="inlineStr">
        <is>
          <t>Eduar Alexis Triana Rincon</t>
        </is>
      </c>
      <c r="D49" s="8" t="inlineStr">
        <is>
          <t>Centro Democrático</t>
        </is>
      </c>
      <c r="E49" s="9" t="n">
        <v>917</v>
      </c>
      <c r="F49" s="10" t="n">
        <v>0.01802244452742674</v>
      </c>
      <c r="G49" s="10" t="n">
        <v>0.1693131462333826</v>
      </c>
      <c r="H49" s="8" t="inlineStr">
        <is>
          <t>1032398664</t>
        </is>
      </c>
    </row>
    <row r="50">
      <c r="A50" s="6" t="inlineStr">
        <is>
          <t>PAIPA</t>
        </is>
      </c>
      <c r="B50" s="7" t="n">
        <v>1</v>
      </c>
      <c r="C50" s="6" t="inlineStr">
        <is>
          <t>Yamit Noe Hurtado Neira</t>
        </is>
      </c>
      <c r="D50" s="6" t="inlineStr">
        <is>
          <t>Alianza Verde</t>
        </is>
      </c>
      <c r="E50" s="7" t="n">
        <v>4756</v>
      </c>
      <c r="F50" s="11" t="n">
        <v>0.2829773308740406</v>
      </c>
      <c r="G50" s="11" t="n">
        <v>0.6632268860688886</v>
      </c>
      <c r="H50" s="6" t="inlineStr">
        <is>
          <t>74359856</t>
        </is>
      </c>
    </row>
    <row r="51">
      <c r="A51" s="8" t="inlineStr">
        <is>
          <t>PAIPA</t>
        </is>
      </c>
      <c r="B51" s="9" t="n">
        <v>2</v>
      </c>
      <c r="C51" s="8" t="inlineStr">
        <is>
          <t>Jaime Raul Salamanca Torres</t>
        </is>
      </c>
      <c r="D51" s="8" t="inlineStr">
        <is>
          <t>Alianza Verde</t>
        </is>
      </c>
      <c r="E51" s="9" t="n">
        <v>1465</v>
      </c>
      <c r="F51" s="10" t="n">
        <v>0.08716606175998096</v>
      </c>
      <c r="G51" s="10" t="n">
        <v>0.2042950773950634</v>
      </c>
      <c r="H51" s="8" t="inlineStr">
        <is>
          <t>4265546</t>
        </is>
      </c>
    </row>
    <row r="52">
      <c r="A52" s="6" t="inlineStr">
        <is>
          <t>PAIPA</t>
        </is>
      </c>
      <c r="B52" s="7" t="n">
        <v>3</v>
      </c>
      <c r="C52" s="6" t="inlineStr">
        <is>
          <t>Hector David Chaparro Chaparro</t>
        </is>
      </c>
      <c r="D52" s="6" t="inlineStr">
        <is>
          <t>Conservador</t>
        </is>
      </c>
      <c r="E52" s="7" t="n">
        <v>1393</v>
      </c>
      <c r="F52" s="11" t="n">
        <v>0.08288213244481465</v>
      </c>
      <c r="G52" s="11" t="n">
        <v>0.6710019267822736</v>
      </c>
      <c r="H52" s="6" t="inlineStr">
        <is>
          <t>1052378776</t>
        </is>
      </c>
    </row>
    <row r="53">
      <c r="A53" s="8" t="inlineStr">
        <is>
          <t>PAIPA</t>
        </is>
      </c>
      <c r="B53" s="9" t="n">
        <v>4</v>
      </c>
      <c r="C53" s="8" t="inlineStr">
        <is>
          <t>Eduar Alexis Triana Rincon</t>
        </is>
      </c>
      <c r="D53" s="8" t="inlineStr">
        <is>
          <t>Centro Democrático</t>
        </is>
      </c>
      <c r="E53" s="9" t="n">
        <v>869</v>
      </c>
      <c r="F53" s="10" t="n">
        <v>0.05170464687332659</v>
      </c>
      <c r="G53" s="10" t="n">
        <v>0.4968553459119497</v>
      </c>
      <c r="H53" s="8" t="inlineStr">
        <is>
          <t>1032398664</t>
        </is>
      </c>
    </row>
    <row r="54">
      <c r="A54" s="6" t="inlineStr">
        <is>
          <t>PAIPA</t>
        </is>
      </c>
      <c r="B54" s="7" t="n">
        <v>5</v>
      </c>
      <c r="C54" s="6" t="inlineStr">
        <is>
          <t>Wilder Ivan Suesca Ochoa</t>
        </is>
      </c>
      <c r="D54" s="6" t="inlineStr">
        <is>
          <t>Partido 121</t>
        </is>
      </c>
      <c r="E54" s="7" t="n">
        <v>729</v>
      </c>
      <c r="F54" s="11" t="n">
        <v>0.04337478431605878</v>
      </c>
      <c r="G54" s="11" t="n">
        <v>0.4899193548387097</v>
      </c>
      <c r="H54" s="6" t="inlineStr">
        <is>
          <t>4288034</t>
        </is>
      </c>
    </row>
    <row r="55">
      <c r="A55" s="8" t="inlineStr">
        <is>
          <t>PAIPA</t>
        </is>
      </c>
      <c r="B55" s="9" t="n">
        <v>6</v>
      </c>
      <c r="C55" s="8" t="inlineStr">
        <is>
          <t>Ramiro Barragan Adame</t>
        </is>
      </c>
      <c r="D55" s="8" t="inlineStr">
        <is>
          <t>Alianza Verde</t>
        </is>
      </c>
      <c r="E55" s="9" t="n">
        <v>353</v>
      </c>
      <c r="F55" s="10" t="n">
        <v>0.02100315344796811</v>
      </c>
      <c r="G55" s="10" t="n">
        <v>0.04922604936549993</v>
      </c>
      <c r="H55" s="8" t="inlineStr">
        <is>
          <t>4179276</t>
        </is>
      </c>
    </row>
    <row r="56">
      <c r="A56" s="6" t="inlineStr">
        <is>
          <t>PAIPA</t>
        </is>
      </c>
      <c r="B56" s="7" t="n">
        <v>7</v>
      </c>
      <c r="C56" s="6" t="inlineStr">
        <is>
          <t>Oscar Leonardo Avila Romero</t>
        </is>
      </c>
      <c r="D56" s="6" t="inlineStr">
        <is>
          <t>Conservador</t>
        </is>
      </c>
      <c r="E56" s="7" t="n">
        <v>273</v>
      </c>
      <c r="F56" s="11" t="n">
        <v>0.01624323198667222</v>
      </c>
      <c r="G56" s="11" t="n">
        <v>0.1315028901734104</v>
      </c>
      <c r="H56" s="6" t="inlineStr">
        <is>
          <t>1051210172</t>
        </is>
      </c>
    </row>
    <row r="57">
      <c r="A57" s="8" t="inlineStr">
        <is>
          <t>PAIPA</t>
        </is>
      </c>
      <c r="B57" s="9" t="n">
        <v>8</v>
      </c>
      <c r="C57" s="8" t="inlineStr">
        <is>
          <t>Nancy Yaneth Zapata Pachon</t>
        </is>
      </c>
      <c r="D57" s="8" t="inlineStr">
        <is>
          <t>Partido 120</t>
        </is>
      </c>
      <c r="E57" s="9" t="n">
        <v>268</v>
      </c>
      <c r="F57" s="10" t="n">
        <v>0.01594573689534123</v>
      </c>
      <c r="G57" s="10" t="n">
        <v>0.5738758029978587</v>
      </c>
      <c r="H57" s="8" t="inlineStr">
        <is>
          <t>1053341162</t>
        </is>
      </c>
    </row>
    <row r="58">
      <c r="A58" s="6" t="inlineStr">
        <is>
          <t>PAIPA</t>
        </is>
      </c>
      <c r="B58" s="7" t="n">
        <v>9</v>
      </c>
      <c r="C58" s="6" t="inlineStr">
        <is>
          <t>Ingrid Marlen Sogamoso Alfonso</t>
        </is>
      </c>
      <c r="D58" s="6" t="inlineStr">
        <is>
          <t>Partido 121</t>
        </is>
      </c>
      <c r="E58" s="7" t="n">
        <v>195</v>
      </c>
      <c r="F58" s="11" t="n">
        <v>0.01160230856190873</v>
      </c>
      <c r="G58" s="11" t="n">
        <v>0.1310483870967742</v>
      </c>
      <c r="H58" s="6" t="inlineStr">
        <is>
          <t>1048848191</t>
        </is>
      </c>
    </row>
    <row r="59">
      <c r="A59" s="8" t="inlineStr">
        <is>
          <t>PAIPA</t>
        </is>
      </c>
      <c r="B59" s="9" t="n">
        <v>10</v>
      </c>
      <c r="C59" s="8" t="inlineStr">
        <is>
          <t>Hernel David Ortega Gomez</t>
        </is>
      </c>
      <c r="D59" s="8" t="inlineStr">
        <is>
          <t>Partido 121</t>
        </is>
      </c>
      <c r="E59" s="9" t="n">
        <v>185</v>
      </c>
      <c r="F59" s="10" t="n">
        <v>0.01100731837924674</v>
      </c>
      <c r="G59" s="10" t="n">
        <v>0.1243279569892473</v>
      </c>
      <c r="H59" s="8" t="inlineStr">
        <is>
          <t>1052394331</t>
        </is>
      </c>
    </row>
    <row r="60">
      <c r="A60" s="6" t="inlineStr">
        <is>
          <t>PAIPA</t>
        </is>
      </c>
      <c r="B60" s="7" t="n">
        <v>11</v>
      </c>
      <c r="C60" s="6" t="inlineStr">
        <is>
          <t>Diana Paola Herrera Nuñez</t>
        </is>
      </c>
      <c r="D60" s="6" t="inlineStr">
        <is>
          <t>Conservador</t>
        </is>
      </c>
      <c r="E60" s="7" t="n">
        <v>177</v>
      </c>
      <c r="F60" s="11" t="n">
        <v>0.01053132623311715</v>
      </c>
      <c r="G60" s="11" t="n">
        <v>0.08526011560693642</v>
      </c>
      <c r="H60" s="6" t="inlineStr">
        <is>
          <t>1053587031</t>
        </is>
      </c>
    </row>
    <row r="61">
      <c r="A61" s="8" t="inlineStr">
        <is>
          <t>PAIPA</t>
        </is>
      </c>
      <c r="B61" s="9" t="n">
        <v>12</v>
      </c>
      <c r="C61" s="8" t="inlineStr">
        <is>
          <t>Delci Del Carmen Urbano</t>
        </is>
      </c>
      <c r="D61" s="8" t="inlineStr">
        <is>
          <t>Centro Democrático</t>
        </is>
      </c>
      <c r="E61" s="9" t="n">
        <v>165</v>
      </c>
      <c r="F61" s="10" t="n">
        <v>0.009817338013922771</v>
      </c>
      <c r="G61" s="10" t="n">
        <v>0.09433962264150944</v>
      </c>
      <c r="H61" s="8" t="inlineStr">
        <is>
          <t>46367437</t>
        </is>
      </c>
    </row>
    <row r="62">
      <c r="A62" s="6" t="inlineStr">
        <is>
          <t>PAIPA</t>
        </is>
      </c>
      <c r="B62" s="7" t="n">
        <v>13</v>
      </c>
      <c r="C62" s="6" t="inlineStr">
        <is>
          <t>Oscar Yovany Montenegro Salcedo</t>
        </is>
      </c>
      <c r="D62" s="6" t="inlineStr">
        <is>
          <t>Partido 122</t>
        </is>
      </c>
      <c r="E62" s="7" t="n">
        <v>164</v>
      </c>
      <c r="F62" s="11" t="n">
        <v>0.009757838995656572</v>
      </c>
      <c r="G62" s="11" t="n">
        <v>0.351931330472103</v>
      </c>
      <c r="H62" s="6" t="inlineStr">
        <is>
          <t>4269926</t>
        </is>
      </c>
    </row>
    <row r="63">
      <c r="A63" s="8" t="inlineStr">
        <is>
          <t>PAIPA</t>
        </is>
      </c>
      <c r="B63" s="9" t="n">
        <v>14</v>
      </c>
      <c r="C63" s="8" t="inlineStr">
        <is>
          <t>Jicly Esgardo Mutis Isaza</t>
        </is>
      </c>
      <c r="D63" s="8" t="inlineStr">
        <is>
          <t>Centro Democrático</t>
        </is>
      </c>
      <c r="E63" s="9" t="n">
        <v>144</v>
      </c>
      <c r="F63" s="10" t="n">
        <v>0.0085678586303326</v>
      </c>
      <c r="G63" s="10" t="n">
        <v>0.0823327615780446</v>
      </c>
      <c r="H63" s="8" t="inlineStr">
        <is>
          <t>98637590</t>
        </is>
      </c>
    </row>
    <row r="64">
      <c r="A64" s="6" t="inlineStr">
        <is>
          <t>PAIPA</t>
        </is>
      </c>
      <c r="B64" s="7" t="n">
        <v>15</v>
      </c>
      <c r="C64" s="6" t="inlineStr">
        <is>
          <t>Vivian Andrea Nieto Florez</t>
        </is>
      </c>
      <c r="D64" s="6" t="inlineStr">
        <is>
          <t>Alianza Verde</t>
        </is>
      </c>
      <c r="E64" s="7" t="n">
        <v>129</v>
      </c>
      <c r="F64" s="11" t="n">
        <v>0.00767537335633962</v>
      </c>
      <c r="G64" s="11" t="n">
        <v>0.01798912285594757</v>
      </c>
      <c r="H64" s="6" t="inlineStr">
        <is>
          <t>1010169459</t>
        </is>
      </c>
    </row>
    <row r="65"/>
    <row r="66"/>
    <row r="67">
      <c r="A67" s="14" t="inlineStr">
        <is>
          <t>Candidato</t>
        </is>
      </c>
      <c r="B67" s="14" t="inlineStr">
        <is>
          <t>Votos</t>
        </is>
      </c>
    </row>
    <row r="68">
      <c r="A68" s="8" t="inlineStr">
        <is>
          <t>Hector David Chaparro Chaparro (SOG)</t>
        </is>
      </c>
      <c r="B68" s="9" t="n">
        <v>5568</v>
      </c>
    </row>
    <row r="69">
      <c r="A69" s="8" t="inlineStr">
        <is>
          <t>Yamit Noe Hurtado Neira (PAI)</t>
        </is>
      </c>
      <c r="B69" s="9" t="n">
        <v>4756</v>
      </c>
    </row>
    <row r="70">
      <c r="A70" s="8" t="inlineStr">
        <is>
          <t>Hector David Chaparro Chaparro (DUI)</t>
        </is>
      </c>
      <c r="B70" s="9" t="n">
        <v>4559</v>
      </c>
    </row>
    <row r="71">
      <c r="A71" s="8" t="inlineStr">
        <is>
          <t>Ramiro Barragan Adame (TUN)</t>
        </is>
      </c>
      <c r="B71" s="9" t="n">
        <v>4294</v>
      </c>
    </row>
    <row r="72">
      <c r="A72" s="8" t="inlineStr">
        <is>
          <t>Jaime Raul Salamanca Torres (TUN)</t>
        </is>
      </c>
      <c r="B72" s="9" t="n">
        <v>3986</v>
      </c>
    </row>
    <row r="73">
      <c r="A73" s="8" t="inlineStr">
        <is>
          <t>Yamit Noe Hurtado Neira (TUN)</t>
        </is>
      </c>
      <c r="B73" s="9" t="n">
        <v>3933</v>
      </c>
    </row>
    <row r="74">
      <c r="A74" s="8" t="inlineStr">
        <is>
          <t>Ramiro Barragan Adame (SOG)</t>
        </is>
      </c>
      <c r="B74" s="9" t="n">
        <v>2771</v>
      </c>
    </row>
    <row r="75">
      <c r="A75" s="8" t="inlineStr">
        <is>
          <t>Jaime Raul Salamanca Torres (DUI)</t>
        </is>
      </c>
      <c r="B75" s="9" t="n">
        <v>2198</v>
      </c>
    </row>
    <row r="76">
      <c r="A76" s="8" t="inlineStr">
        <is>
          <t>Diana Paola Herrera Nuñez (SOG)</t>
        </is>
      </c>
      <c r="B76" s="9" t="n">
        <v>1962</v>
      </c>
    </row>
    <row r="77">
      <c r="A77" s="8" t="inlineStr">
        <is>
          <t>Hernel David Ortega Gomez (DUI)</t>
        </is>
      </c>
      <c r="B77" s="9" t="n">
        <v>1558</v>
      </c>
    </row>
    <row r="78"/>
    <row r="79">
      <c r="A79" s="14" t="inlineStr">
        <is>
          <t>Municipio</t>
        </is>
      </c>
      <c r="B79" s="14" t="inlineStr">
        <is>
          <t>1er lugar</t>
        </is>
      </c>
      <c r="C79" s="14" t="inlineStr">
        <is>
          <t>2do lugar</t>
        </is>
      </c>
      <c r="D79" s="14" t="inlineStr">
        <is>
          <t>3er lugar</t>
        </is>
      </c>
    </row>
    <row r="80">
      <c r="A80" s="8" t="inlineStr">
        <is>
          <t>TUNJA</t>
        </is>
      </c>
      <c r="B80" s="9" t="n">
        <v>4294</v>
      </c>
      <c r="C80" s="9" t="n">
        <v>3986</v>
      </c>
      <c r="D80" s="9" t="n">
        <v>3933</v>
      </c>
    </row>
    <row r="81">
      <c r="A81" s="8" t="inlineStr">
        <is>
          <t>DUITAMA</t>
        </is>
      </c>
      <c r="B81" s="9" t="n">
        <v>4559</v>
      </c>
      <c r="C81" s="9" t="n">
        <v>2198</v>
      </c>
      <c r="D81" s="9" t="n">
        <v>1558</v>
      </c>
    </row>
    <row r="82">
      <c r="A82" s="8" t="inlineStr">
        <is>
          <t>SOGAMOSO</t>
        </is>
      </c>
      <c r="B82" s="9" t="n">
        <v>5568</v>
      </c>
      <c r="C82" s="9" t="n">
        <v>2771</v>
      </c>
      <c r="D82" s="9" t="n">
        <v>1962</v>
      </c>
    </row>
    <row r="83">
      <c r="A83" s="8" t="inlineStr">
        <is>
          <t>PAIPA</t>
        </is>
      </c>
      <c r="B83" s="9" t="n">
        <v>4756</v>
      </c>
      <c r="C83" s="9" t="n">
        <v>1465</v>
      </c>
      <c r="D83" s="9" t="n">
        <v>1393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B2D8B"/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24" customWidth="1" min="4" max="4"/>
    <col width="10" customWidth="1" min="5" max="5"/>
    <col width="16" customWidth="1" min="6" max="6"/>
  </cols>
  <sheetData>
    <row r="1">
      <c r="A1" s="1" t="inlineStr">
        <is>
          <t>DISTRIBUCION DE VOTOS - SENADO</t>
        </is>
      </c>
      <c r="B1" s="2" t="n"/>
      <c r="C1" s="2" t="n"/>
      <c r="D1" s="2" t="n"/>
      <c r="E1" s="2" t="n"/>
      <c r="F1" s="2" t="n"/>
    </row>
    <row r="2">
      <c r="A2" s="3" t="inlineStr">
        <is>
          <t>Votos por partido en cada municipio | Preconteo Congreso 2026</t>
        </is>
      </c>
      <c r="B2" s="2" t="n"/>
      <c r="C2" s="2" t="n"/>
      <c r="D2" s="2" t="n"/>
      <c r="E2" s="2" t="n"/>
      <c r="F2" s="2" t="n"/>
    </row>
    <row r="3"/>
    <row r="4">
      <c r="A4" s="5" t="inlineStr">
        <is>
          <t>Municipio</t>
        </is>
      </c>
      <c r="B4" s="5" t="inlineStr">
        <is>
          <t>Partido</t>
        </is>
      </c>
      <c r="C4" s="5" t="inlineStr">
        <is>
          <t>Votos</t>
        </is>
      </c>
      <c r="D4" s="5" t="inlineStr">
        <is>
          <t>% del Municipio</t>
        </is>
      </c>
      <c r="E4" s="5" t="inlineStr">
        <is>
          <t>Posicion</t>
        </is>
      </c>
      <c r="F4" s="5" t="inlineStr">
        <is>
          <t>Codigo Partido</t>
        </is>
      </c>
    </row>
    <row r="5">
      <c r="A5" s="8" t="inlineStr">
        <is>
          <t>TUNJA</t>
        </is>
      </c>
      <c r="B5" s="8" t="inlineStr">
        <is>
          <t>Pacto Histórico</t>
        </is>
      </c>
      <c r="C5" s="9" t="n">
        <v>20651</v>
      </c>
      <c r="D5" s="10" t="n">
        <v>0.2781541694166453</v>
      </c>
      <c r="E5" s="9" t="n">
        <v>1</v>
      </c>
      <c r="F5" s="8" t="inlineStr">
        <is>
          <t>92</t>
        </is>
      </c>
    </row>
    <row r="6">
      <c r="A6" s="6" t="inlineStr">
        <is>
          <t>TUNJA</t>
        </is>
      </c>
      <c r="B6" s="6" t="inlineStr">
        <is>
          <t>Alianza Verde</t>
        </is>
      </c>
      <c r="C6" s="7" t="n">
        <v>16296</v>
      </c>
      <c r="D6" s="11" t="n">
        <v>0.2194954406476032</v>
      </c>
      <c r="E6" s="7" t="n">
        <v>2</v>
      </c>
      <c r="F6" s="6" t="inlineStr">
        <is>
          <t>57</t>
        </is>
      </c>
    </row>
    <row r="7">
      <c r="A7" s="8" t="inlineStr">
        <is>
          <t>TUNJA</t>
        </is>
      </c>
      <c r="B7" s="8" t="inlineStr">
        <is>
          <t>Centro Democrático</t>
        </is>
      </c>
      <c r="C7" s="9" t="n">
        <v>10613</v>
      </c>
      <c r="D7" s="10" t="n">
        <v>0.1429495036569104</v>
      </c>
      <c r="E7" s="9" t="n">
        <v>3</v>
      </c>
      <c r="F7" s="8" t="inlineStr">
        <is>
          <t>10</t>
        </is>
      </c>
    </row>
    <row r="8">
      <c r="A8" s="6" t="inlineStr">
        <is>
          <t>TUNJA</t>
        </is>
      </c>
      <c r="B8" s="6" t="inlineStr">
        <is>
          <t>Conservador</t>
        </is>
      </c>
      <c r="C8" s="7" t="n">
        <v>5978</v>
      </c>
      <c r="D8" s="11" t="n">
        <v>0.08051937556402623</v>
      </c>
      <c r="E8" s="7" t="n">
        <v>4</v>
      </c>
      <c r="F8" s="6" t="inlineStr">
        <is>
          <t>2</t>
        </is>
      </c>
    </row>
    <row r="9">
      <c r="A9" s="8" t="inlineStr">
        <is>
          <t>TUNJA</t>
        </is>
      </c>
      <c r="B9" s="8" t="inlineStr">
        <is>
          <t>Partido 3</t>
        </is>
      </c>
      <c r="C9" s="9" t="n">
        <v>5153</v>
      </c>
      <c r="D9" s="10" t="n">
        <v>0.06940721684199183</v>
      </c>
      <c r="E9" s="9" t="n">
        <v>5</v>
      </c>
      <c r="F9" s="8" t="inlineStr">
        <is>
          <t>3</t>
        </is>
      </c>
    </row>
    <row r="10">
      <c r="A10" s="6" t="inlineStr">
        <is>
          <t>TUNJA</t>
        </is>
      </c>
      <c r="B10" s="6" t="inlineStr">
        <is>
          <t>Partido 17</t>
        </is>
      </c>
      <c r="C10" s="7" t="n">
        <v>4105</v>
      </c>
      <c r="D10" s="11" t="n">
        <v>0.05529140794418329</v>
      </c>
      <c r="E10" s="7" t="n">
        <v>6</v>
      </c>
      <c r="F10" s="6" t="inlineStr">
        <is>
          <t>17</t>
        </is>
      </c>
    </row>
    <row r="11">
      <c r="A11" s="8" t="inlineStr">
        <is>
          <t>TUNJA</t>
        </is>
      </c>
      <c r="B11" s="8" t="inlineStr">
        <is>
          <t>Partido 43</t>
        </is>
      </c>
      <c r="C11" s="9" t="n">
        <v>3863</v>
      </c>
      <c r="D11" s="10" t="n">
        <v>0.05203184138571987</v>
      </c>
      <c r="E11" s="9" t="n">
        <v>7</v>
      </c>
      <c r="F11" s="8" t="inlineStr">
        <is>
          <t>43</t>
        </is>
      </c>
    </row>
    <row r="12">
      <c r="A12" s="6" t="inlineStr">
        <is>
          <t>TUNJA</t>
        </is>
      </c>
      <c r="B12" s="6" t="inlineStr">
        <is>
          <t>Partido 44</t>
        </is>
      </c>
      <c r="C12" s="7" t="n">
        <v>3416</v>
      </c>
      <c r="D12" s="11" t="n">
        <v>0.04601107175087214</v>
      </c>
      <c r="E12" s="7" t="n">
        <v>8</v>
      </c>
      <c r="F12" s="6" t="inlineStr">
        <is>
          <t>44</t>
        </is>
      </c>
    </row>
    <row r="13">
      <c r="A13" s="8" t="inlineStr">
        <is>
          <t>TUNJA</t>
        </is>
      </c>
      <c r="B13" s="8" t="inlineStr">
        <is>
          <t>Partido 55</t>
        </is>
      </c>
      <c r="C13" s="9" t="n">
        <v>1470</v>
      </c>
      <c r="D13" s="10" t="n">
        <v>0.01979984645017039</v>
      </c>
      <c r="E13" s="9" t="n">
        <v>9</v>
      </c>
      <c r="F13" s="8" t="inlineStr">
        <is>
          <t>55</t>
        </is>
      </c>
    </row>
    <row r="14">
      <c r="A14" s="6" t="inlineStr">
        <is>
          <t>TUNJA</t>
        </is>
      </c>
      <c r="B14" s="6" t="inlineStr">
        <is>
          <t>Partido 9</t>
        </is>
      </c>
      <c r="C14" s="7" t="n">
        <v>1292</v>
      </c>
      <c r="D14" s="11" t="n">
        <v>0.01740231402287084</v>
      </c>
      <c r="E14" s="7" t="n">
        <v>10</v>
      </c>
      <c r="F14" s="6" t="inlineStr">
        <is>
          <t>9</t>
        </is>
      </c>
    </row>
    <row r="15">
      <c r="A15" s="8" t="inlineStr">
        <is>
          <t>TUNJA</t>
        </is>
      </c>
      <c r="B15" s="8" t="inlineStr">
        <is>
          <t>Partido 170</t>
        </is>
      </c>
      <c r="C15" s="9" t="n">
        <v>609</v>
      </c>
      <c r="D15" s="10" t="n">
        <v>0.008202793529356303</v>
      </c>
      <c r="E15" s="9" t="n">
        <v>11</v>
      </c>
      <c r="F15" s="8" t="inlineStr">
        <is>
          <t>170</t>
        </is>
      </c>
    </row>
    <row r="16">
      <c r="A16" s="6" t="inlineStr">
        <is>
          <t>TUNJA</t>
        </is>
      </c>
      <c r="B16" s="6" t="inlineStr">
        <is>
          <t>Partido 40</t>
        </is>
      </c>
      <c r="C16" s="7" t="n">
        <v>505</v>
      </c>
      <c r="D16" s="11" t="n">
        <v>0.006801988066214996</v>
      </c>
      <c r="E16" s="7" t="n">
        <v>12</v>
      </c>
      <c r="F16" s="6" t="inlineStr">
        <is>
          <t>40</t>
        </is>
      </c>
    </row>
    <row r="17">
      <c r="A17" s="8" t="inlineStr">
        <is>
          <t>TUNJA</t>
        </is>
      </c>
      <c r="B17" s="8" t="inlineStr">
        <is>
          <t>Partido 39</t>
        </is>
      </c>
      <c r="C17" s="9" t="n">
        <v>119</v>
      </c>
      <c r="D17" s="10" t="n">
        <v>0.001602844712632841</v>
      </c>
      <c r="E17" s="9" t="n">
        <v>13</v>
      </c>
      <c r="F17" s="8" t="inlineStr">
        <is>
          <t>39</t>
        </is>
      </c>
    </row>
    <row r="18">
      <c r="A18" s="6" t="inlineStr">
        <is>
          <t>TUNJA</t>
        </is>
      </c>
      <c r="B18" s="6" t="inlineStr">
        <is>
          <t>Partido 18</t>
        </is>
      </c>
      <c r="C18" s="7" t="n">
        <v>71</v>
      </c>
      <c r="D18" s="11" t="n">
        <v>0.0009563191142599303</v>
      </c>
      <c r="E18" s="7" t="n">
        <v>14</v>
      </c>
      <c r="F18" s="6" t="inlineStr">
        <is>
          <t>18</t>
        </is>
      </c>
    </row>
    <row r="19">
      <c r="A19" s="8" t="inlineStr">
        <is>
          <t>TUNJA</t>
        </is>
      </c>
      <c r="B19" s="8" t="inlineStr">
        <is>
          <t>Partido 34</t>
        </is>
      </c>
      <c r="C19" s="9" t="n">
        <v>69</v>
      </c>
      <c r="D19" s="10" t="n">
        <v>0.0009293805476610589</v>
      </c>
      <c r="E19" s="9" t="n">
        <v>15</v>
      </c>
      <c r="F19" s="8" t="inlineStr">
        <is>
          <t>34</t>
        </is>
      </c>
    </row>
    <row r="20">
      <c r="A20" s="6" t="inlineStr">
        <is>
          <t>TUNJA</t>
        </is>
      </c>
      <c r="B20" s="6" t="inlineStr">
        <is>
          <t>Partido 33</t>
        </is>
      </c>
      <c r="C20" s="7" t="n">
        <v>33</v>
      </c>
      <c r="D20" s="11" t="n">
        <v>0.000444486348881376</v>
      </c>
      <c r="E20" s="7" t="n">
        <v>16</v>
      </c>
      <c r="F20" s="6" t="inlineStr">
        <is>
          <t>33</t>
        </is>
      </c>
    </row>
    <row r="21">
      <c r="A21" s="8" t="inlineStr">
        <is>
          <t>DUITAMA</t>
        </is>
      </c>
      <c r="B21" s="8" t="inlineStr">
        <is>
          <t>Pacto Histórico</t>
        </is>
      </c>
      <c r="C21" s="9" t="n">
        <v>15423</v>
      </c>
      <c r="D21" s="10" t="n">
        <v>0.3157668447884037</v>
      </c>
      <c r="E21" s="9" t="n">
        <v>1</v>
      </c>
      <c r="F21" s="8" t="inlineStr">
        <is>
          <t>92</t>
        </is>
      </c>
    </row>
    <row r="22">
      <c r="A22" s="6" t="inlineStr">
        <is>
          <t>DUITAMA</t>
        </is>
      </c>
      <c r="B22" s="6" t="inlineStr">
        <is>
          <t>Centro Democrático</t>
        </is>
      </c>
      <c r="C22" s="7" t="n">
        <v>9205</v>
      </c>
      <c r="D22" s="11" t="n">
        <v>0.1884609872448457</v>
      </c>
      <c r="E22" s="7" t="n">
        <v>2</v>
      </c>
      <c r="F22" s="6" t="inlineStr">
        <is>
          <t>10</t>
        </is>
      </c>
    </row>
    <row r="23">
      <c r="A23" s="8" t="inlineStr">
        <is>
          <t>DUITAMA</t>
        </is>
      </c>
      <c r="B23" s="8" t="inlineStr">
        <is>
          <t>Alianza Verde</t>
        </is>
      </c>
      <c r="C23" s="9" t="n">
        <v>8371</v>
      </c>
      <c r="D23" s="10" t="n">
        <v>0.1713858690088651</v>
      </c>
      <c r="E23" s="9" t="n">
        <v>3</v>
      </c>
      <c r="F23" s="8" t="inlineStr">
        <is>
          <t>57</t>
        </is>
      </c>
    </row>
    <row r="24">
      <c r="A24" s="6" t="inlineStr">
        <is>
          <t>DUITAMA</t>
        </is>
      </c>
      <c r="B24" s="6" t="inlineStr">
        <is>
          <t>Partido 3</t>
        </is>
      </c>
      <c r="C24" s="7" t="n">
        <v>3098</v>
      </c>
      <c r="D24" s="11" t="n">
        <v>0.0634277173801773</v>
      </c>
      <c r="E24" s="7" t="n">
        <v>4</v>
      </c>
      <c r="F24" s="6" t="inlineStr">
        <is>
          <t>3</t>
        </is>
      </c>
    </row>
    <row r="25">
      <c r="A25" s="8" t="inlineStr">
        <is>
          <t>DUITAMA</t>
        </is>
      </c>
      <c r="B25" s="8" t="inlineStr">
        <is>
          <t>Partido 17</t>
        </is>
      </c>
      <c r="C25" s="9" t="n">
        <v>2794</v>
      </c>
      <c r="D25" s="10" t="n">
        <v>0.05720369346682227</v>
      </c>
      <c r="E25" s="9" t="n">
        <v>5</v>
      </c>
      <c r="F25" s="8" t="inlineStr">
        <is>
          <t>17</t>
        </is>
      </c>
    </row>
    <row r="26">
      <c r="A26" s="6" t="inlineStr">
        <is>
          <t>DUITAMA</t>
        </is>
      </c>
      <c r="B26" s="6" t="inlineStr">
        <is>
          <t>Partido 43</t>
        </is>
      </c>
      <c r="C26" s="7" t="n">
        <v>2706</v>
      </c>
      <c r="D26" s="11" t="n">
        <v>0.05540200233400897</v>
      </c>
      <c r="E26" s="7" t="n">
        <v>6</v>
      </c>
      <c r="F26" s="6" t="inlineStr">
        <is>
          <t>43</t>
        </is>
      </c>
    </row>
    <row r="27">
      <c r="A27" s="8" t="inlineStr">
        <is>
          <t>DUITAMA</t>
        </is>
      </c>
      <c r="B27" s="8" t="inlineStr">
        <is>
          <t>Partido 44</t>
        </is>
      </c>
      <c r="C27" s="9" t="n">
        <v>2568</v>
      </c>
      <c r="D27" s="10" t="n">
        <v>0.05257662305755174</v>
      </c>
      <c r="E27" s="9" t="n">
        <v>7</v>
      </c>
      <c r="F27" s="8" t="inlineStr">
        <is>
          <t>44</t>
        </is>
      </c>
    </row>
    <row r="28">
      <c r="A28" s="6" t="inlineStr">
        <is>
          <t>DUITAMA</t>
        </is>
      </c>
      <c r="B28" s="6" t="inlineStr">
        <is>
          <t>Conservador</t>
        </is>
      </c>
      <c r="C28" s="7" t="n">
        <v>2532</v>
      </c>
      <c r="D28" s="11" t="n">
        <v>0.05183956759412812</v>
      </c>
      <c r="E28" s="7" t="n">
        <v>8</v>
      </c>
      <c r="F28" s="6" t="inlineStr">
        <is>
          <t>2</t>
        </is>
      </c>
    </row>
    <row r="29">
      <c r="A29" s="8" t="inlineStr">
        <is>
          <t>DUITAMA</t>
        </is>
      </c>
      <c r="B29" s="8" t="inlineStr">
        <is>
          <t>Partido 9</t>
        </is>
      </c>
      <c r="C29" s="9" t="n">
        <v>682</v>
      </c>
      <c r="D29" s="10" t="n">
        <v>0.01396310627930307</v>
      </c>
      <c r="E29" s="9" t="n">
        <v>9</v>
      </c>
      <c r="F29" s="8" t="inlineStr">
        <is>
          <t>9</t>
        </is>
      </c>
    </row>
    <row r="30">
      <c r="A30" s="6" t="inlineStr">
        <is>
          <t>DUITAMA</t>
        </is>
      </c>
      <c r="B30" s="6" t="inlineStr">
        <is>
          <t>Partido 55</t>
        </is>
      </c>
      <c r="C30" s="7" t="n">
        <v>650</v>
      </c>
      <c r="D30" s="11" t="n">
        <v>0.01330794586737096</v>
      </c>
      <c r="E30" s="7" t="n">
        <v>10</v>
      </c>
      <c r="F30" s="6" t="inlineStr">
        <is>
          <t>55</t>
        </is>
      </c>
    </row>
    <row r="31">
      <c r="A31" s="8" t="inlineStr">
        <is>
          <t>DUITAMA</t>
        </is>
      </c>
      <c r="B31" s="8" t="inlineStr">
        <is>
          <t>Partido 40</t>
        </is>
      </c>
      <c r="C31" s="9" t="n">
        <v>284</v>
      </c>
      <c r="D31" s="10" t="n">
        <v>0.005814548655897468</v>
      </c>
      <c r="E31" s="9" t="n">
        <v>11</v>
      </c>
      <c r="F31" s="8" t="inlineStr">
        <is>
          <t>40</t>
        </is>
      </c>
    </row>
    <row r="32">
      <c r="A32" s="6" t="inlineStr">
        <is>
          <t>DUITAMA</t>
        </is>
      </c>
      <c r="B32" s="6" t="inlineStr">
        <is>
          <t>Partido 170</t>
        </is>
      </c>
      <c r="C32" s="7" t="n">
        <v>257</v>
      </c>
      <c r="D32" s="11" t="n">
        <v>0.00526175705832975</v>
      </c>
      <c r="E32" s="7" t="n">
        <v>12</v>
      </c>
      <c r="F32" s="6" t="inlineStr">
        <is>
          <t>170</t>
        </is>
      </c>
    </row>
    <row r="33">
      <c r="A33" s="8" t="inlineStr">
        <is>
          <t>DUITAMA</t>
        </is>
      </c>
      <c r="B33" s="8" t="inlineStr">
        <is>
          <t>Partido 34</t>
        </is>
      </c>
      <c r="C33" s="9" t="n">
        <v>115</v>
      </c>
      <c r="D33" s="10" t="n">
        <v>0.002354482730381017</v>
      </c>
      <c r="E33" s="9" t="n">
        <v>13</v>
      </c>
      <c r="F33" s="8" t="inlineStr">
        <is>
          <t>34</t>
        </is>
      </c>
    </row>
    <row r="34">
      <c r="A34" s="6" t="inlineStr">
        <is>
          <t>DUITAMA</t>
        </is>
      </c>
      <c r="B34" s="6" t="inlineStr">
        <is>
          <t>Partido 18</t>
        </is>
      </c>
      <c r="C34" s="7" t="n">
        <v>70</v>
      </c>
      <c r="D34" s="11" t="n">
        <v>0.001433163401101488</v>
      </c>
      <c r="E34" s="7" t="n">
        <v>14</v>
      </c>
      <c r="F34" s="6" t="inlineStr">
        <is>
          <t>18</t>
        </is>
      </c>
    </row>
    <row r="35">
      <c r="A35" s="8" t="inlineStr">
        <is>
          <t>DUITAMA</t>
        </is>
      </c>
      <c r="B35" s="8" t="inlineStr">
        <is>
          <t>Partido 39</t>
        </is>
      </c>
      <c r="C35" s="9" t="n">
        <v>62</v>
      </c>
      <c r="D35" s="10" t="n">
        <v>0.001269373298118461</v>
      </c>
      <c r="E35" s="9" t="n">
        <v>15</v>
      </c>
      <c r="F35" s="8" t="inlineStr">
        <is>
          <t>39</t>
        </is>
      </c>
    </row>
    <row r="36">
      <c r="A36" s="6" t="inlineStr">
        <is>
          <t>DUITAMA</t>
        </is>
      </c>
      <c r="B36" s="6" t="inlineStr">
        <is>
          <t>Partido 33</t>
        </is>
      </c>
      <c r="C36" s="7" t="n">
        <v>26</v>
      </c>
      <c r="D36" s="11" t="n">
        <v>0.0005323178346948386</v>
      </c>
      <c r="E36" s="7" t="n">
        <v>16</v>
      </c>
      <c r="F36" s="6" t="inlineStr">
        <is>
          <t>33</t>
        </is>
      </c>
    </row>
    <row r="37">
      <c r="A37" s="8" t="inlineStr">
        <is>
          <t>SOGAMOSO</t>
        </is>
      </c>
      <c r="B37" s="8" t="inlineStr">
        <is>
          <t>Pacto Histórico</t>
        </is>
      </c>
      <c r="C37" s="9" t="n">
        <v>13957</v>
      </c>
      <c r="D37" s="10" t="n">
        <v>0.2744901370779004</v>
      </c>
      <c r="E37" s="9" t="n">
        <v>1</v>
      </c>
      <c r="F37" s="8" t="inlineStr">
        <is>
          <t>92</t>
        </is>
      </c>
    </row>
    <row r="38">
      <c r="A38" s="6" t="inlineStr">
        <is>
          <t>SOGAMOSO</t>
        </is>
      </c>
      <c r="B38" s="6" t="inlineStr">
        <is>
          <t>Alianza Verde</t>
        </is>
      </c>
      <c r="C38" s="7" t="n">
        <v>8195</v>
      </c>
      <c r="D38" s="11" t="n">
        <v>0.1611697838613881</v>
      </c>
      <c r="E38" s="7" t="n">
        <v>2</v>
      </c>
      <c r="F38" s="6" t="inlineStr">
        <is>
          <t>57</t>
        </is>
      </c>
    </row>
    <row r="39">
      <c r="A39" s="8" t="inlineStr">
        <is>
          <t>SOGAMOSO</t>
        </is>
      </c>
      <c r="B39" s="8" t="inlineStr">
        <is>
          <t>Centro Democrático</t>
        </is>
      </c>
      <c r="C39" s="9" t="n">
        <v>8182</v>
      </c>
      <c r="D39" s="10" t="n">
        <v>0.1609141148937007</v>
      </c>
      <c r="E39" s="9" t="n">
        <v>3</v>
      </c>
      <c r="F39" s="8" t="inlineStr">
        <is>
          <t>10</t>
        </is>
      </c>
    </row>
    <row r="40">
      <c r="A40" s="6" t="inlineStr">
        <is>
          <t>SOGAMOSO</t>
        </is>
      </c>
      <c r="B40" s="6" t="inlineStr">
        <is>
          <t>Partido 17</t>
        </is>
      </c>
      <c r="C40" s="7" t="n">
        <v>5645</v>
      </c>
      <c r="D40" s="11" t="n">
        <v>0.1110193325073259</v>
      </c>
      <c r="E40" s="7" t="n">
        <v>4</v>
      </c>
      <c r="F40" s="6" t="inlineStr">
        <is>
          <t>17</t>
        </is>
      </c>
    </row>
    <row r="41">
      <c r="A41" s="8" t="inlineStr">
        <is>
          <t>SOGAMOSO</t>
        </is>
      </c>
      <c r="B41" s="8" t="inlineStr">
        <is>
          <t>Conservador</t>
        </is>
      </c>
      <c r="C41" s="9" t="n">
        <v>5035</v>
      </c>
      <c r="D41" s="10" t="n">
        <v>0.0990225578696875</v>
      </c>
      <c r="E41" s="9" t="n">
        <v>5</v>
      </c>
      <c r="F41" s="8" t="inlineStr">
        <is>
          <t>2</t>
        </is>
      </c>
    </row>
    <row r="42">
      <c r="A42" s="6" t="inlineStr">
        <is>
          <t>SOGAMOSO</t>
        </is>
      </c>
      <c r="B42" s="6" t="inlineStr">
        <is>
          <t>Partido 3</t>
        </is>
      </c>
      <c r="C42" s="7" t="n">
        <v>2938</v>
      </c>
      <c r="D42" s="11" t="n">
        <v>0.05778118669734694</v>
      </c>
      <c r="E42" s="7" t="n">
        <v>6</v>
      </c>
      <c r="F42" s="6" t="inlineStr">
        <is>
          <t>3</t>
        </is>
      </c>
    </row>
    <row r="43">
      <c r="A43" s="8" t="inlineStr">
        <is>
          <t>SOGAMOSO</t>
        </is>
      </c>
      <c r="B43" s="8" t="inlineStr">
        <is>
          <t>Partido 43</t>
        </is>
      </c>
      <c r="C43" s="9" t="n">
        <v>2637</v>
      </c>
      <c r="D43" s="10" t="n">
        <v>0.05186146675320078</v>
      </c>
      <c r="E43" s="9" t="n">
        <v>7</v>
      </c>
      <c r="F43" s="8" t="inlineStr">
        <is>
          <t>43</t>
        </is>
      </c>
    </row>
    <row r="44">
      <c r="A44" s="6" t="inlineStr">
        <is>
          <t>SOGAMOSO</t>
        </is>
      </c>
      <c r="B44" s="6" t="inlineStr">
        <is>
          <t>Partido 44</t>
        </is>
      </c>
      <c r="C44" s="7" t="n">
        <v>2075</v>
      </c>
      <c r="D44" s="11" t="n">
        <v>0.04080870061163884</v>
      </c>
      <c r="E44" s="7" t="n">
        <v>8</v>
      </c>
      <c r="F44" s="6" t="inlineStr">
        <is>
          <t>44</t>
        </is>
      </c>
    </row>
    <row r="45">
      <c r="A45" s="8" t="inlineStr">
        <is>
          <t>SOGAMOSO</t>
        </is>
      </c>
      <c r="B45" s="8" t="inlineStr">
        <is>
          <t>Partido 9</t>
        </is>
      </c>
      <c r="C45" s="9" t="n">
        <v>975</v>
      </c>
      <c r="D45" s="10" t="n">
        <v>0.01917517257655319</v>
      </c>
      <c r="E45" s="9" t="n">
        <v>9</v>
      </c>
      <c r="F45" s="8" t="inlineStr">
        <is>
          <t>9</t>
        </is>
      </c>
    </row>
    <row r="46">
      <c r="A46" s="6" t="inlineStr">
        <is>
          <t>SOGAMOSO</t>
        </is>
      </c>
      <c r="B46" s="6" t="inlineStr">
        <is>
          <t>Partido 55</t>
        </is>
      </c>
      <c r="C46" s="7" t="n">
        <v>544</v>
      </c>
      <c r="D46" s="11" t="n">
        <v>0.01069876295553327</v>
      </c>
      <c r="E46" s="7" t="n">
        <v>10</v>
      </c>
      <c r="F46" s="6" t="inlineStr">
        <is>
          <t>55</t>
        </is>
      </c>
    </row>
    <row r="47">
      <c r="A47" s="8" t="inlineStr">
        <is>
          <t>SOGAMOSO</t>
        </is>
      </c>
      <c r="B47" s="8" t="inlineStr">
        <is>
          <t>Partido 40</t>
        </is>
      </c>
      <c r="C47" s="9" t="n">
        <v>245</v>
      </c>
      <c r="D47" s="10" t="n">
        <v>0.004818376698723622</v>
      </c>
      <c r="E47" s="9" t="n">
        <v>11</v>
      </c>
      <c r="F47" s="8" t="inlineStr">
        <is>
          <t>40</t>
        </is>
      </c>
    </row>
    <row r="48">
      <c r="A48" s="6" t="inlineStr">
        <is>
          <t>SOGAMOSO</t>
        </is>
      </c>
      <c r="B48" s="6" t="inlineStr">
        <is>
          <t>Partido 170</t>
        </is>
      </c>
      <c r="C48" s="7" t="n">
        <v>185</v>
      </c>
      <c r="D48" s="11" t="n">
        <v>0.003638366078628041</v>
      </c>
      <c r="E48" s="7" t="n">
        <v>12</v>
      </c>
      <c r="F48" s="6" t="inlineStr">
        <is>
          <t>170</t>
        </is>
      </c>
    </row>
    <row r="49">
      <c r="A49" s="8" t="inlineStr">
        <is>
          <t>SOGAMOSO</t>
        </is>
      </c>
      <c r="B49" s="8" t="inlineStr">
        <is>
          <t>Partido 34</t>
        </is>
      </c>
      <c r="C49" s="9" t="n">
        <v>109</v>
      </c>
      <c r="D49" s="10" t="n">
        <v>0.002143685959840305</v>
      </c>
      <c r="E49" s="9" t="n">
        <v>13</v>
      </c>
      <c r="F49" s="8" t="inlineStr">
        <is>
          <t>34</t>
        </is>
      </c>
    </row>
    <row r="50">
      <c r="A50" s="6" t="inlineStr">
        <is>
          <t>SOGAMOSO</t>
        </is>
      </c>
      <c r="B50" s="6" t="inlineStr">
        <is>
          <t>Partido 39</t>
        </is>
      </c>
      <c r="C50" s="7" t="n">
        <v>53</v>
      </c>
      <c r="D50" s="11" t="n">
        <v>0.001042342714417763</v>
      </c>
      <c r="E50" s="7" t="n">
        <v>14</v>
      </c>
      <c r="F50" s="6" t="inlineStr">
        <is>
          <t>39</t>
        </is>
      </c>
    </row>
    <row r="51">
      <c r="A51" s="8" t="inlineStr">
        <is>
          <t>SOGAMOSO</t>
        </is>
      </c>
      <c r="B51" s="8" t="inlineStr">
        <is>
          <t>Partido 18</t>
        </is>
      </c>
      <c r="C51" s="9" t="n">
        <v>49</v>
      </c>
      <c r="D51" s="10" t="n">
        <v>0.0009636753397447243</v>
      </c>
      <c r="E51" s="9" t="n">
        <v>15</v>
      </c>
      <c r="F51" s="8" t="inlineStr">
        <is>
          <t>18</t>
        </is>
      </c>
    </row>
    <row r="52">
      <c r="A52" s="6" t="inlineStr">
        <is>
          <t>SOGAMOSO</t>
        </is>
      </c>
      <c r="B52" s="6" t="inlineStr">
        <is>
          <t>Partido 33</t>
        </is>
      </c>
      <c r="C52" s="7" t="n">
        <v>23</v>
      </c>
      <c r="D52" s="11" t="n">
        <v>0.0004523374043699726</v>
      </c>
      <c r="E52" s="7" t="n">
        <v>16</v>
      </c>
      <c r="F52" s="6" t="inlineStr">
        <is>
          <t>33</t>
        </is>
      </c>
    </row>
    <row r="53">
      <c r="A53" s="8" t="inlineStr">
        <is>
          <t>PAIPA</t>
        </is>
      </c>
      <c r="B53" s="8" t="inlineStr">
        <is>
          <t>Alianza Verde</t>
        </is>
      </c>
      <c r="C53" s="9" t="n">
        <v>4161</v>
      </c>
      <c r="D53" s="10" t="n">
        <v>0.2538278533520405</v>
      </c>
      <c r="E53" s="9" t="n">
        <v>1</v>
      </c>
      <c r="F53" s="8" t="inlineStr">
        <is>
          <t>57</t>
        </is>
      </c>
    </row>
    <row r="54">
      <c r="A54" s="6" t="inlineStr">
        <is>
          <t>PAIPA</t>
        </is>
      </c>
      <c r="B54" s="6" t="inlineStr">
        <is>
          <t>Pacto Histórico</t>
        </is>
      </c>
      <c r="C54" s="7" t="n">
        <v>3669</v>
      </c>
      <c r="D54" s="11" t="n">
        <v>0.2238150430061612</v>
      </c>
      <c r="E54" s="7" t="n">
        <v>2</v>
      </c>
      <c r="F54" s="6" t="inlineStr">
        <is>
          <t>92</t>
        </is>
      </c>
    </row>
    <row r="55">
      <c r="A55" s="8" t="inlineStr">
        <is>
          <t>PAIPA</t>
        </is>
      </c>
      <c r="B55" s="8" t="inlineStr">
        <is>
          <t>Centro Democrático</t>
        </is>
      </c>
      <c r="C55" s="9" t="n">
        <v>2771</v>
      </c>
      <c r="D55" s="10" t="n">
        <v>0.1690355639602269</v>
      </c>
      <c r="E55" s="9" t="n">
        <v>3</v>
      </c>
      <c r="F55" s="8" t="inlineStr">
        <is>
          <t>10</t>
        </is>
      </c>
    </row>
    <row r="56">
      <c r="A56" s="6" t="inlineStr">
        <is>
          <t>PAIPA</t>
        </is>
      </c>
      <c r="B56" s="6" t="inlineStr">
        <is>
          <t>Partido 3</t>
        </is>
      </c>
      <c r="C56" s="7" t="n">
        <v>1649</v>
      </c>
      <c r="D56" s="11" t="n">
        <v>0.1005917159763314</v>
      </c>
      <c r="E56" s="7" t="n">
        <v>4</v>
      </c>
      <c r="F56" s="6" t="inlineStr">
        <is>
          <t>3</t>
        </is>
      </c>
    </row>
    <row r="57">
      <c r="A57" s="8" t="inlineStr">
        <is>
          <t>PAIPA</t>
        </is>
      </c>
      <c r="B57" s="8" t="inlineStr">
        <is>
          <t>Conservador</t>
        </is>
      </c>
      <c r="C57" s="9" t="n">
        <v>1530</v>
      </c>
      <c r="D57" s="10" t="n">
        <v>0.0933325199780394</v>
      </c>
      <c r="E57" s="9" t="n">
        <v>5</v>
      </c>
      <c r="F57" s="8" t="inlineStr">
        <is>
          <t>2</t>
        </is>
      </c>
    </row>
    <row r="58">
      <c r="A58" s="6" t="inlineStr">
        <is>
          <t>PAIPA</t>
        </is>
      </c>
      <c r="B58" s="6" t="inlineStr">
        <is>
          <t>Partido 43</t>
        </is>
      </c>
      <c r="C58" s="7" t="n">
        <v>969</v>
      </c>
      <c r="D58" s="11" t="n">
        <v>0.05911059598609163</v>
      </c>
      <c r="E58" s="7" t="n">
        <v>6</v>
      </c>
      <c r="F58" s="6" t="inlineStr">
        <is>
          <t>43</t>
        </is>
      </c>
    </row>
    <row r="59">
      <c r="A59" s="8" t="inlineStr">
        <is>
          <t>PAIPA</t>
        </is>
      </c>
      <c r="B59" s="8" t="inlineStr">
        <is>
          <t>Partido 17</t>
        </is>
      </c>
      <c r="C59" s="9" t="n">
        <v>597</v>
      </c>
      <c r="D59" s="10" t="n">
        <v>0.03641798328554871</v>
      </c>
      <c r="E59" s="9" t="n">
        <v>7</v>
      </c>
      <c r="F59" s="8" t="inlineStr">
        <is>
          <t>17</t>
        </is>
      </c>
    </row>
    <row r="60">
      <c r="A60" s="6" t="inlineStr">
        <is>
          <t>PAIPA</t>
        </is>
      </c>
      <c r="B60" s="6" t="inlineStr">
        <is>
          <t>Partido 44</t>
        </is>
      </c>
      <c r="C60" s="7" t="n">
        <v>513</v>
      </c>
      <c r="D60" s="11" t="n">
        <v>0.03129384493381322</v>
      </c>
      <c r="E60" s="7" t="n">
        <v>8</v>
      </c>
      <c r="F60" s="6" t="inlineStr">
        <is>
          <t>44</t>
        </is>
      </c>
    </row>
    <row r="61">
      <c r="A61" s="8" t="inlineStr">
        <is>
          <t>PAIPA</t>
        </is>
      </c>
      <c r="B61" s="8" t="inlineStr">
        <is>
          <t>Partido 9</t>
        </is>
      </c>
      <c r="C61" s="9" t="n">
        <v>251</v>
      </c>
      <c r="D61" s="10" t="n">
        <v>0.01531141340816202</v>
      </c>
      <c r="E61" s="9" t="n">
        <v>9</v>
      </c>
      <c r="F61" s="8" t="inlineStr">
        <is>
          <t>9</t>
        </is>
      </c>
    </row>
    <row r="62">
      <c r="A62" s="6" t="inlineStr">
        <is>
          <t>PAIPA</t>
        </is>
      </c>
      <c r="B62" s="6" t="inlineStr">
        <is>
          <t>Partido 55</t>
        </is>
      </c>
      <c r="C62" s="7" t="n">
        <v>109</v>
      </c>
      <c r="D62" s="11" t="n">
        <v>0.006649179527847252</v>
      </c>
      <c r="E62" s="7" t="n">
        <v>10</v>
      </c>
      <c r="F62" s="6" t="inlineStr">
        <is>
          <t>55</t>
        </is>
      </c>
    </row>
    <row r="63">
      <c r="A63" s="8" t="inlineStr">
        <is>
          <t>PAIPA</t>
        </is>
      </c>
      <c r="B63" s="8" t="inlineStr">
        <is>
          <t>Partido 40</t>
        </is>
      </c>
      <c r="C63" s="9" t="n">
        <v>62</v>
      </c>
      <c r="D63" s="10" t="n">
        <v>0.003782102116757152</v>
      </c>
      <c r="E63" s="9" t="n">
        <v>11</v>
      </c>
      <c r="F63" s="8" t="inlineStr">
        <is>
          <t>40</t>
        </is>
      </c>
    </row>
    <row r="64">
      <c r="A64" s="6" t="inlineStr">
        <is>
          <t>PAIPA</t>
        </is>
      </c>
      <c r="B64" s="6" t="inlineStr">
        <is>
          <t>Partido 170</t>
        </is>
      </c>
      <c r="C64" s="7" t="n">
        <v>48</v>
      </c>
      <c r="D64" s="11" t="n">
        <v>0.00292807905813457</v>
      </c>
      <c r="E64" s="7" t="n">
        <v>12</v>
      </c>
      <c r="F64" s="6" t="inlineStr">
        <is>
          <t>170</t>
        </is>
      </c>
    </row>
    <row r="65">
      <c r="A65" s="8" t="inlineStr">
        <is>
          <t>PAIPA</t>
        </is>
      </c>
      <c r="B65" s="8" t="inlineStr">
        <is>
          <t>Partido 39</t>
        </is>
      </c>
      <c r="C65" s="9" t="n">
        <v>31</v>
      </c>
      <c r="D65" s="10" t="n">
        <v>0.001891051058378576</v>
      </c>
      <c r="E65" s="9" t="n">
        <v>13</v>
      </c>
      <c r="F65" s="8" t="inlineStr">
        <is>
          <t>39</t>
        </is>
      </c>
    </row>
    <row r="66">
      <c r="A66" s="6" t="inlineStr">
        <is>
          <t>PAIPA</t>
        </is>
      </c>
      <c r="B66" s="6" t="inlineStr">
        <is>
          <t>Partido 18</t>
        </is>
      </c>
      <c r="C66" s="7" t="n">
        <v>21</v>
      </c>
      <c r="D66" s="11" t="n">
        <v>0.001281034587933874</v>
      </c>
      <c r="E66" s="7" t="n">
        <v>14</v>
      </c>
      <c r="F66" s="6" t="inlineStr">
        <is>
          <t>18</t>
        </is>
      </c>
    </row>
    <row r="67">
      <c r="A67" s="8" t="inlineStr">
        <is>
          <t>PAIPA</t>
        </is>
      </c>
      <c r="B67" s="8" t="inlineStr">
        <is>
          <t>Partido 34</t>
        </is>
      </c>
      <c r="C67" s="9" t="n">
        <v>7</v>
      </c>
      <c r="D67" s="10" t="n">
        <v>0.0004270115293112914</v>
      </c>
      <c r="E67" s="9" t="n">
        <v>15</v>
      </c>
      <c r="F67" s="8" t="inlineStr">
        <is>
          <t>34</t>
        </is>
      </c>
    </row>
    <row r="68">
      <c r="A68" s="6" t="inlineStr">
        <is>
          <t>PAIPA</t>
        </is>
      </c>
      <c r="B68" s="6" t="inlineStr">
        <is>
          <t>Partido 33</t>
        </is>
      </c>
      <c r="C68" s="7" t="n">
        <v>5</v>
      </c>
      <c r="D68" s="11" t="n">
        <v>0.000305008235222351</v>
      </c>
      <c r="E68" s="7" t="n">
        <v>16</v>
      </c>
      <c r="F68" s="6" t="inlineStr">
        <is>
          <t>33</t>
        </is>
      </c>
    </row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>
      <c r="A105" s="5" t="inlineStr">
        <is>
          <t>Partido</t>
        </is>
      </c>
      <c r="B105" s="5" t="inlineStr">
        <is>
          <t>Votos</t>
        </is>
      </c>
    </row>
    <row r="106">
      <c r="A106" s="8" t="inlineStr">
        <is>
          <t>Pacto Histórico</t>
        </is>
      </c>
      <c r="B106" s="9" t="n">
        <v>20651</v>
      </c>
    </row>
    <row r="107">
      <c r="A107" s="8" t="inlineStr">
        <is>
          <t>Alianza Verde</t>
        </is>
      </c>
      <c r="B107" s="9" t="n">
        <v>16296</v>
      </c>
    </row>
    <row r="108">
      <c r="A108" s="8" t="inlineStr">
        <is>
          <t>Centro Democrático</t>
        </is>
      </c>
      <c r="B108" s="9" t="n">
        <v>10613</v>
      </c>
    </row>
    <row r="109">
      <c r="A109" s="8" t="inlineStr">
        <is>
          <t>Conservador</t>
        </is>
      </c>
      <c r="B109" s="9" t="n">
        <v>5978</v>
      </c>
    </row>
    <row r="110">
      <c r="A110" s="8" t="inlineStr">
        <is>
          <t>Partido 3</t>
        </is>
      </c>
      <c r="B110" s="9" t="n">
        <v>5153</v>
      </c>
    </row>
    <row r="111"/>
    <row r="112"/>
    <row r="113">
      <c r="A113" s="5" t="inlineStr">
        <is>
          <t>Partido</t>
        </is>
      </c>
      <c r="B113" s="5" t="inlineStr">
        <is>
          <t>Votos</t>
        </is>
      </c>
    </row>
    <row r="114">
      <c r="A114" s="8" t="inlineStr">
        <is>
          <t>Pacto Histórico</t>
        </is>
      </c>
      <c r="B114" s="9" t="n">
        <v>15423</v>
      </c>
    </row>
    <row r="115">
      <c r="A115" s="8" t="inlineStr">
        <is>
          <t>Centro Democrático</t>
        </is>
      </c>
      <c r="B115" s="9" t="n">
        <v>9205</v>
      </c>
    </row>
    <row r="116">
      <c r="A116" s="8" t="inlineStr">
        <is>
          <t>Alianza Verde</t>
        </is>
      </c>
      <c r="B116" s="9" t="n">
        <v>8371</v>
      </c>
    </row>
    <row r="117">
      <c r="A117" s="8" t="inlineStr">
        <is>
          <t>Partido 3</t>
        </is>
      </c>
      <c r="B117" s="9" t="n">
        <v>3098</v>
      </c>
    </row>
    <row r="118">
      <c r="A118" s="8" t="inlineStr">
        <is>
          <t>Partido 17</t>
        </is>
      </c>
      <c r="B118" s="9" t="n">
        <v>2794</v>
      </c>
    </row>
    <row r="119"/>
    <row r="120"/>
    <row r="121">
      <c r="A121" s="5" t="inlineStr">
        <is>
          <t>Partido</t>
        </is>
      </c>
      <c r="B121" s="5" t="inlineStr">
        <is>
          <t>Votos</t>
        </is>
      </c>
    </row>
    <row r="122">
      <c r="A122" s="8" t="inlineStr">
        <is>
          <t>Pacto Histórico</t>
        </is>
      </c>
      <c r="B122" s="9" t="n">
        <v>13957</v>
      </c>
    </row>
    <row r="123">
      <c r="A123" s="8" t="inlineStr">
        <is>
          <t>Alianza Verde</t>
        </is>
      </c>
      <c r="B123" s="9" t="n">
        <v>8195</v>
      </c>
    </row>
    <row r="124">
      <c r="A124" s="8" t="inlineStr">
        <is>
          <t>Centro Democrático</t>
        </is>
      </c>
      <c r="B124" s="9" t="n">
        <v>8182</v>
      </c>
    </row>
    <row r="125">
      <c r="A125" s="8" t="inlineStr">
        <is>
          <t>Partido 17</t>
        </is>
      </c>
      <c r="B125" s="9" t="n">
        <v>5645</v>
      </c>
    </row>
    <row r="126">
      <c r="A126" s="8" t="inlineStr">
        <is>
          <t>Conservador</t>
        </is>
      </c>
      <c r="B126" s="9" t="n">
        <v>5035</v>
      </c>
    </row>
    <row r="127"/>
    <row r="128"/>
    <row r="129">
      <c r="A129" s="5" t="inlineStr">
        <is>
          <t>Partido</t>
        </is>
      </c>
      <c r="B129" s="5" t="inlineStr">
        <is>
          <t>Votos</t>
        </is>
      </c>
    </row>
    <row r="130">
      <c r="A130" s="8" t="inlineStr">
        <is>
          <t>Alianza Verde</t>
        </is>
      </c>
      <c r="B130" s="9" t="n">
        <v>4161</v>
      </c>
    </row>
    <row r="131">
      <c r="A131" s="8" t="inlineStr">
        <is>
          <t>Pacto Histórico</t>
        </is>
      </c>
      <c r="B131" s="9" t="n">
        <v>3669</v>
      </c>
    </row>
    <row r="132">
      <c r="A132" s="8" t="inlineStr">
        <is>
          <t>Centro Democrático</t>
        </is>
      </c>
      <c r="B132" s="9" t="n">
        <v>2771</v>
      </c>
    </row>
    <row r="133">
      <c r="A133" s="8" t="inlineStr">
        <is>
          <t>Partido 3</t>
        </is>
      </c>
      <c r="B133" s="9" t="n">
        <v>1649</v>
      </c>
    </row>
    <row r="134">
      <c r="A134" s="8" t="inlineStr">
        <is>
          <t>Conservador</t>
        </is>
      </c>
      <c r="B134" s="9" t="n">
        <v>1530</v>
      </c>
    </row>
    <row r="135"/>
    <row r="136"/>
    <row r="137"/>
    <row r="138"/>
    <row r="139">
      <c r="A139" s="14" t="inlineStr">
        <is>
          <t>Partido</t>
        </is>
      </c>
      <c r="B139" s="14" t="inlineStr">
        <is>
          <t>Total Votos SE</t>
        </is>
      </c>
    </row>
    <row r="140">
      <c r="A140" s="8" t="inlineStr">
        <is>
          <t>Pacto Histórico</t>
        </is>
      </c>
      <c r="B140" s="9" t="n">
        <v>53700</v>
      </c>
    </row>
    <row r="141">
      <c r="A141" s="8" t="inlineStr">
        <is>
          <t>Alianza Verde</t>
        </is>
      </c>
      <c r="B141" s="9" t="n">
        <v>37023</v>
      </c>
    </row>
    <row r="142">
      <c r="A142" s="8" t="inlineStr">
        <is>
          <t>Centro Democrático</t>
        </is>
      </c>
      <c r="B142" s="9" t="n">
        <v>30771</v>
      </c>
    </row>
    <row r="143">
      <c r="A143" s="8" t="inlineStr">
        <is>
          <t>Conservador</t>
        </is>
      </c>
      <c r="B143" s="9" t="n">
        <v>15075</v>
      </c>
    </row>
    <row r="144">
      <c r="A144" s="8" t="inlineStr">
        <is>
          <t>Partido 17</t>
        </is>
      </c>
      <c r="B144" s="9" t="n">
        <v>13141</v>
      </c>
    </row>
    <row r="145">
      <c r="A145" s="8" t="inlineStr">
        <is>
          <t>Partido 3</t>
        </is>
      </c>
      <c r="B145" s="9" t="n">
        <v>12838</v>
      </c>
    </row>
    <row r="146">
      <c r="A146" s="8" t="inlineStr">
        <is>
          <t>Partido 43</t>
        </is>
      </c>
      <c r="B146" s="9" t="n">
        <v>10175</v>
      </c>
    </row>
    <row r="147">
      <c r="A147" s="8" t="inlineStr">
        <is>
          <t>Partido 44</t>
        </is>
      </c>
      <c r="B147" s="9" t="n">
        <v>8572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07C34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0" customWidth="1" min="4" max="4"/>
    <col width="12" customWidth="1" min="5" max="5"/>
    <col width="23" customWidth="1" min="6" max="6"/>
    <col width="13" customWidth="1" min="7" max="7"/>
    <col width="15" customWidth="1" min="8" max="8"/>
    <col width="27" customWidth="1" min="9" max="9"/>
  </cols>
  <sheetData>
    <row r="1">
      <c r="A1" s="1" t="inlineStr">
        <is>
          <t>ARRASTRE ELECTORAL - ALIANZA VERDE (CA -&gt; SE)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Ratio votos_SE_Verde / votos_CA_Verde por zona | codpar CA=5, SE=57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5" t="inlineStr">
        <is>
          <t>Municipio</t>
        </is>
      </c>
      <c r="B4" s="5" t="inlineStr">
        <is>
          <t>Zona</t>
        </is>
      </c>
      <c r="C4" s="5" t="inlineStr">
        <is>
          <t>Votos CA Verde</t>
        </is>
      </c>
      <c r="D4" s="5" t="inlineStr">
        <is>
          <t>Votos SE Verde</t>
        </is>
      </c>
      <c r="E4" s="5" t="inlineStr">
        <is>
          <t>Diferencia</t>
        </is>
      </c>
      <c r="F4" s="5" t="inlineStr">
        <is>
          <t>Variacion %</t>
        </is>
      </c>
      <c r="G4" s="5" t="inlineStr">
        <is>
          <t>Ratio SE/CA</t>
        </is>
      </c>
      <c r="H4" s="5" t="inlineStr">
        <is>
          <t>Tipo Arrastre</t>
        </is>
      </c>
      <c r="I4" s="5" t="inlineStr">
        <is>
          <t>Interpretacion</t>
        </is>
      </c>
    </row>
    <row r="5">
      <c r="A5" s="8" t="inlineStr">
        <is>
          <t>DUITAMA</t>
        </is>
      </c>
      <c r="B5" s="8" t="inlineStr">
        <is>
          <t>070007901</t>
        </is>
      </c>
      <c r="C5" s="9" t="n">
        <v>1949</v>
      </c>
      <c r="D5" s="9" t="n">
        <v>2585</v>
      </c>
      <c r="E5" s="9" t="n">
        <v>636</v>
      </c>
      <c r="F5" s="15" t="n">
        <v>0.3263211903540277</v>
      </c>
      <c r="G5" s="13" t="n">
        <v>1.326</v>
      </c>
      <c r="H5" s="16" t="inlineStr">
        <is>
          <t>Positivo</t>
        </is>
      </c>
      <c r="I5" s="8" t="inlineStr">
        <is>
          <t>SE arrastra fuerte (+20%)</t>
        </is>
      </c>
    </row>
    <row r="6">
      <c r="A6" s="6" t="inlineStr">
        <is>
          <t>SOGAMOSO</t>
        </is>
      </c>
      <c r="B6" s="6" t="inlineStr">
        <is>
          <t>070027799</t>
        </is>
      </c>
      <c r="C6" s="7" t="n">
        <v>90</v>
      </c>
      <c r="D6" s="7" t="n">
        <v>117</v>
      </c>
      <c r="E6" s="7" t="n">
        <v>27</v>
      </c>
      <c r="F6" s="17" t="n">
        <v>0.3</v>
      </c>
      <c r="G6" s="12" t="n">
        <v>1.3</v>
      </c>
      <c r="H6" s="18" t="inlineStr">
        <is>
          <t>Positivo</t>
        </is>
      </c>
      <c r="I6" s="6" t="inlineStr">
        <is>
          <t>SE arrastra fuerte (+20%)</t>
        </is>
      </c>
    </row>
    <row r="7">
      <c r="A7" s="8" t="inlineStr">
        <is>
          <t>DUITAMA</t>
        </is>
      </c>
      <c r="B7" s="8" t="inlineStr">
        <is>
          <t>070007902</t>
        </is>
      </c>
      <c r="C7" s="9" t="n">
        <v>3500</v>
      </c>
      <c r="D7" s="9" t="n">
        <v>4491</v>
      </c>
      <c r="E7" s="9" t="n">
        <v>991</v>
      </c>
      <c r="F7" s="15" t="n">
        <v>0.2831428571428571</v>
      </c>
      <c r="G7" s="13" t="n">
        <v>1.283</v>
      </c>
      <c r="H7" s="16" t="inlineStr">
        <is>
          <t>Positivo</t>
        </is>
      </c>
      <c r="I7" s="8" t="inlineStr">
        <is>
          <t>SE arrastra fuerte (+20%)</t>
        </is>
      </c>
    </row>
    <row r="8">
      <c r="A8" s="6" t="inlineStr">
        <is>
          <t>DUITAMA</t>
        </is>
      </c>
      <c r="B8" s="6" t="inlineStr">
        <is>
          <t>070007990</t>
        </is>
      </c>
      <c r="C8" s="7" t="n">
        <v>439</v>
      </c>
      <c r="D8" s="7" t="n">
        <v>554</v>
      </c>
      <c r="E8" s="7" t="n">
        <v>115</v>
      </c>
      <c r="F8" s="17" t="n">
        <v>0.2619589977220957</v>
      </c>
      <c r="G8" s="12" t="n">
        <v>1.262</v>
      </c>
      <c r="H8" s="18" t="inlineStr">
        <is>
          <t>Positivo</t>
        </is>
      </c>
      <c r="I8" s="6" t="inlineStr">
        <is>
          <t>SE arrastra fuerte (+20%)</t>
        </is>
      </c>
    </row>
    <row r="9">
      <c r="A9" s="8" t="inlineStr">
        <is>
          <t>DUITAMA</t>
        </is>
      </c>
      <c r="B9" s="8" t="inlineStr">
        <is>
          <t>070007999</t>
        </is>
      </c>
      <c r="C9" s="9" t="n">
        <v>613</v>
      </c>
      <c r="D9" s="9" t="n">
        <v>739</v>
      </c>
      <c r="E9" s="9" t="n">
        <v>126</v>
      </c>
      <c r="F9" s="15" t="n">
        <v>0.2055464926590538</v>
      </c>
      <c r="G9" s="13" t="n">
        <v>1.206</v>
      </c>
      <c r="H9" s="16" t="inlineStr">
        <is>
          <t>Positivo</t>
        </is>
      </c>
      <c r="I9" s="8" t="inlineStr">
        <is>
          <t>SE arrastra fuerte (+20%)</t>
        </is>
      </c>
    </row>
    <row r="10">
      <c r="A10" s="6" t="inlineStr">
        <is>
          <t>TUNJA</t>
        </is>
      </c>
      <c r="B10" s="6" t="inlineStr">
        <is>
          <t>070000103</t>
        </is>
      </c>
      <c r="C10" s="7" t="n">
        <v>4079</v>
      </c>
      <c r="D10" s="7" t="n">
        <v>4256</v>
      </c>
      <c r="E10" s="7" t="n">
        <v>177</v>
      </c>
      <c r="F10" s="17" t="n">
        <v>0.04339298847756803</v>
      </c>
      <c r="G10" s="12" t="n">
        <v>1.043</v>
      </c>
      <c r="H10" s="18" t="inlineStr">
        <is>
          <t>Positivo</t>
        </is>
      </c>
      <c r="I10" s="6" t="inlineStr">
        <is>
          <t>Arrastre leve o neutro</t>
        </is>
      </c>
    </row>
    <row r="11">
      <c r="A11" s="8" t="inlineStr">
        <is>
          <t>SOGAMOSO</t>
        </is>
      </c>
      <c r="B11" s="8" t="inlineStr">
        <is>
          <t>070027702</t>
        </is>
      </c>
      <c r="C11" s="9" t="n">
        <v>4371</v>
      </c>
      <c r="D11" s="9" t="n">
        <v>4550</v>
      </c>
      <c r="E11" s="9" t="n">
        <v>179</v>
      </c>
      <c r="F11" s="15" t="n">
        <v>0.04095172729352551</v>
      </c>
      <c r="G11" s="13" t="n">
        <v>1.041</v>
      </c>
      <c r="H11" s="16" t="inlineStr">
        <is>
          <t>Positivo</t>
        </is>
      </c>
      <c r="I11" s="8" t="inlineStr">
        <is>
          <t>Arrastre leve o neutro</t>
        </is>
      </c>
    </row>
    <row r="12">
      <c r="A12" s="6" t="inlineStr">
        <is>
          <t>TUNJA</t>
        </is>
      </c>
      <c r="B12" s="6" t="inlineStr">
        <is>
          <t>070000101</t>
        </is>
      </c>
      <c r="C12" s="7" t="n">
        <v>4821</v>
      </c>
      <c r="D12" s="7" t="n">
        <v>4986</v>
      </c>
      <c r="E12" s="7" t="n">
        <v>165</v>
      </c>
      <c r="F12" s="17" t="n">
        <v>0.03422526446795271</v>
      </c>
      <c r="G12" s="12" t="n">
        <v>1.034</v>
      </c>
      <c r="H12" s="18" t="inlineStr">
        <is>
          <t>Positivo</t>
        </is>
      </c>
      <c r="I12" s="6" t="inlineStr">
        <is>
          <t>Arrastre leve o neutro</t>
        </is>
      </c>
    </row>
    <row r="13">
      <c r="A13" s="8" t="inlineStr">
        <is>
          <t>TUNJA</t>
        </is>
      </c>
      <c r="B13" s="8" t="inlineStr">
        <is>
          <t>070000102</t>
        </is>
      </c>
      <c r="C13" s="9" t="n">
        <v>5967</v>
      </c>
      <c r="D13" s="9" t="n">
        <v>6106</v>
      </c>
      <c r="E13" s="9" t="n">
        <v>139</v>
      </c>
      <c r="F13" s="15" t="n">
        <v>0.02329478800067035</v>
      </c>
      <c r="G13" s="13" t="n">
        <v>1.023</v>
      </c>
      <c r="H13" s="16" t="inlineStr">
        <is>
          <t>Positivo</t>
        </is>
      </c>
      <c r="I13" s="8" t="inlineStr">
        <is>
          <t>Arrastre leve o neutro</t>
        </is>
      </c>
    </row>
    <row r="14">
      <c r="A14" s="6" t="inlineStr">
        <is>
          <t>TUNJA</t>
        </is>
      </c>
      <c r="B14" s="6" t="inlineStr">
        <is>
          <t>070000198</t>
        </is>
      </c>
      <c r="C14" s="7" t="n">
        <v>5</v>
      </c>
      <c r="D14" s="7" t="n">
        <v>5</v>
      </c>
      <c r="E14" s="7" t="n">
        <v>0</v>
      </c>
      <c r="F14" s="17" t="n">
        <v>0</v>
      </c>
      <c r="G14" s="12" t="n">
        <v>1</v>
      </c>
      <c r="H14" s="18" t="inlineStr">
        <is>
          <t>Positivo</t>
        </is>
      </c>
      <c r="I14" s="6" t="inlineStr">
        <is>
          <t>Arrastre leve o neutro</t>
        </is>
      </c>
    </row>
    <row r="15">
      <c r="A15" s="8" t="inlineStr">
        <is>
          <t>SOGAMOSO</t>
        </is>
      </c>
      <c r="B15" s="8" t="inlineStr">
        <is>
          <t>070027798</t>
        </is>
      </c>
      <c r="C15" s="9" t="n">
        <v>3</v>
      </c>
      <c r="D15" s="9" t="n">
        <v>3</v>
      </c>
      <c r="E15" s="9" t="n">
        <v>0</v>
      </c>
      <c r="F15" s="15" t="n">
        <v>0</v>
      </c>
      <c r="G15" s="13" t="n">
        <v>1</v>
      </c>
      <c r="H15" s="16" t="inlineStr">
        <is>
          <t>Positivo</t>
        </is>
      </c>
      <c r="I15" s="8" t="inlineStr">
        <is>
          <t>Arrastre leve o neutro</t>
        </is>
      </c>
    </row>
    <row r="16">
      <c r="A16" s="6" t="inlineStr">
        <is>
          <t>TUNJA</t>
        </is>
      </c>
      <c r="B16" s="6" t="inlineStr">
        <is>
          <t>070000190</t>
        </is>
      </c>
      <c r="C16" s="7" t="n">
        <v>911</v>
      </c>
      <c r="D16" s="7" t="n">
        <v>908</v>
      </c>
      <c r="E16" s="7" t="n">
        <v>-3</v>
      </c>
      <c r="F16" s="17" t="n">
        <v>-0.003293084522502744</v>
      </c>
      <c r="G16" s="12" t="n">
        <v>0.997</v>
      </c>
      <c r="H16" s="19" t="inlineStr">
        <is>
          <t>Negativo</t>
        </is>
      </c>
      <c r="I16" s="6" t="inlineStr">
        <is>
          <t>Perdida moderada</t>
        </is>
      </c>
    </row>
    <row r="17">
      <c r="A17" s="8" t="inlineStr">
        <is>
          <t>SOGAMOSO</t>
        </is>
      </c>
      <c r="B17" s="8" t="inlineStr">
        <is>
          <t>070027790</t>
        </is>
      </c>
      <c r="C17" s="9" t="n">
        <v>485</v>
      </c>
      <c r="D17" s="9" t="n">
        <v>479</v>
      </c>
      <c r="E17" s="9" t="n">
        <v>-6</v>
      </c>
      <c r="F17" s="15" t="n">
        <v>-0.01237113402061856</v>
      </c>
      <c r="G17" s="13" t="n">
        <v>0.988</v>
      </c>
      <c r="H17" s="20" t="inlineStr">
        <is>
          <t>Negativo</t>
        </is>
      </c>
      <c r="I17" s="8" t="inlineStr">
        <is>
          <t>Perdida moderada</t>
        </is>
      </c>
    </row>
    <row r="18">
      <c r="A18" s="6" t="inlineStr">
        <is>
          <t>SOGAMOSO</t>
        </is>
      </c>
      <c r="B18" s="6" t="inlineStr">
        <is>
          <t>070027701</t>
        </is>
      </c>
      <c r="C18" s="7" t="n">
        <v>3137</v>
      </c>
      <c r="D18" s="7" t="n">
        <v>3046</v>
      </c>
      <c r="E18" s="7" t="n">
        <v>-91</v>
      </c>
      <c r="F18" s="17" t="n">
        <v>-0.02900860694931463</v>
      </c>
      <c r="G18" s="12" t="n">
        <v>0.971</v>
      </c>
      <c r="H18" s="19" t="inlineStr">
        <is>
          <t>Negativo</t>
        </is>
      </c>
      <c r="I18" s="6" t="inlineStr">
        <is>
          <t>Perdida moderada</t>
        </is>
      </c>
    </row>
    <row r="19">
      <c r="A19" s="8" t="inlineStr">
        <is>
          <t>TUNJA</t>
        </is>
      </c>
      <c r="B19" s="8" t="inlineStr">
        <is>
          <t>070000199</t>
        </is>
      </c>
      <c r="C19" s="9" t="n">
        <v>53</v>
      </c>
      <c r="D19" s="9" t="n">
        <v>35</v>
      </c>
      <c r="E19" s="9" t="n">
        <v>-18</v>
      </c>
      <c r="F19" s="15" t="n">
        <v>-0.3396226415094339</v>
      </c>
      <c r="G19" s="13" t="n">
        <v>0.66</v>
      </c>
      <c r="H19" s="20" t="inlineStr">
        <is>
          <t>Negativo</t>
        </is>
      </c>
      <c r="I19" s="8" t="inlineStr">
        <is>
          <t>Perdida severa (&gt;20%)</t>
        </is>
      </c>
    </row>
    <row r="20">
      <c r="A20" s="6" t="inlineStr">
        <is>
          <t>PAIPA</t>
        </is>
      </c>
      <c r="B20" s="6" t="inlineStr">
        <is>
          <t>070018101</t>
        </is>
      </c>
      <c r="C20" s="7" t="n">
        <v>2980</v>
      </c>
      <c r="D20" s="7" t="n">
        <v>1785</v>
      </c>
      <c r="E20" s="7" t="n">
        <v>-1195</v>
      </c>
      <c r="F20" s="17" t="n">
        <v>-0.401006711409396</v>
      </c>
      <c r="G20" s="12" t="n">
        <v>0.599</v>
      </c>
      <c r="H20" s="19" t="inlineStr">
        <is>
          <t>Negativo</t>
        </is>
      </c>
      <c r="I20" s="6" t="inlineStr">
        <is>
          <t>Perdida severa (&gt;20%)</t>
        </is>
      </c>
    </row>
    <row r="21">
      <c r="A21" s="8" t="inlineStr">
        <is>
          <t>PAIPA</t>
        </is>
      </c>
      <c r="B21" s="8" t="inlineStr">
        <is>
          <t>070018102</t>
        </is>
      </c>
      <c r="C21" s="9" t="n">
        <v>3588</v>
      </c>
      <c r="D21" s="9" t="n">
        <v>2150</v>
      </c>
      <c r="E21" s="9" t="n">
        <v>-1438</v>
      </c>
      <c r="F21" s="15" t="n">
        <v>-0.4007803790412486</v>
      </c>
      <c r="G21" s="13" t="n">
        <v>0.599</v>
      </c>
      <c r="H21" s="20" t="inlineStr">
        <is>
          <t>Negativo</t>
        </is>
      </c>
      <c r="I21" s="8" t="inlineStr">
        <is>
          <t>Perdida severa (&gt;20%)</t>
        </is>
      </c>
    </row>
    <row r="22">
      <c r="A22" s="6" t="inlineStr">
        <is>
          <t>PAIPA</t>
        </is>
      </c>
      <c r="B22" s="6" t="inlineStr">
        <is>
          <t>070018199</t>
        </is>
      </c>
      <c r="C22" s="7" t="n">
        <v>603</v>
      </c>
      <c r="D22" s="7" t="n">
        <v>226</v>
      </c>
      <c r="E22" s="7" t="n">
        <v>-377</v>
      </c>
      <c r="F22" s="17" t="n">
        <v>-0.6252072968490879</v>
      </c>
      <c r="G22" s="12" t="n">
        <v>0.375</v>
      </c>
      <c r="H22" s="19" t="inlineStr">
        <is>
          <t>Negativo</t>
        </is>
      </c>
      <c r="I22" s="6" t="inlineStr">
        <is>
          <t>Perdida severa (&gt;20%)</t>
        </is>
      </c>
    </row>
    <row r="23">
      <c r="A23" s="8" t="inlineStr">
        <is>
          <t>DUITAMA</t>
        </is>
      </c>
      <c r="B23" s="8" t="inlineStr">
        <is>
          <t>070007998</t>
        </is>
      </c>
      <c r="C23" s="9" t="n">
        <v>6</v>
      </c>
      <c r="D23" s="9" t="n">
        <v>2</v>
      </c>
      <c r="E23" s="9" t="n">
        <v>-4</v>
      </c>
      <c r="F23" s="15" t="n">
        <v>-0.6666666666666666</v>
      </c>
      <c r="G23" s="13" t="n">
        <v>0.333</v>
      </c>
      <c r="H23" s="20" t="inlineStr">
        <is>
          <t>Negativo</t>
        </is>
      </c>
      <c r="I23" s="8" t="inlineStr">
        <is>
          <t>Perdida severa (&gt;20%)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>
      <c r="A58" s="14" t="inlineStr">
        <is>
          <t>Municipio</t>
        </is>
      </c>
      <c r="B58" s="14" t="inlineStr">
        <is>
          <t>Votos CA Verde</t>
        </is>
      </c>
      <c r="C58" s="14" t="inlineStr">
        <is>
          <t>Votos SE Verde</t>
        </is>
      </c>
      <c r="D58" s="14" t="inlineStr">
        <is>
          <t>Ratio</t>
        </is>
      </c>
    </row>
    <row r="59">
      <c r="A59" s="8" t="inlineStr">
        <is>
          <t>DUITAMA</t>
        </is>
      </c>
      <c r="B59" s="9" t="n">
        <v>6507</v>
      </c>
      <c r="C59" s="9" t="n">
        <v>8371</v>
      </c>
      <c r="D59" s="13" t="n">
        <v>1.286460734593515</v>
      </c>
    </row>
    <row r="60">
      <c r="A60" s="8" t="inlineStr">
        <is>
          <t>PAIPA</t>
        </is>
      </c>
      <c r="B60" s="9" t="n">
        <v>7171</v>
      </c>
      <c r="C60" s="9" t="n">
        <v>4161</v>
      </c>
      <c r="D60" s="13" t="n">
        <v>0.5802538000278901</v>
      </c>
    </row>
    <row r="61">
      <c r="A61" s="8" t="inlineStr">
        <is>
          <t>SOGAMOSO</t>
        </is>
      </c>
      <c r="B61" s="9" t="n">
        <v>8086</v>
      </c>
      <c r="C61" s="9" t="n">
        <v>8195</v>
      </c>
      <c r="D61" s="13" t="n">
        <v>1.01348008904279</v>
      </c>
    </row>
    <row r="62">
      <c r="A62" s="8" t="inlineStr">
        <is>
          <t>TUNJA</t>
        </is>
      </c>
      <c r="B62" s="9" t="n">
        <v>15836</v>
      </c>
      <c r="C62" s="9" t="n">
        <v>16296</v>
      </c>
      <c r="D62" s="13" t="n">
        <v>1.029047739328113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5252"/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3" customWidth="1" min="3" max="3"/>
    <col width="20" customWidth="1" min="4" max="4"/>
    <col width="33" customWidth="1" min="5" max="5"/>
    <col width="17" customWidth="1" min="6" max="6"/>
    <col width="20" customWidth="1" min="7" max="7"/>
    <col width="20" customWidth="1" min="8" max="8"/>
    <col width="10" customWidth="1" min="9" max="9"/>
  </cols>
  <sheetData>
    <row r="1">
      <c r="A1" s="1" t="inlineStr">
        <is>
          <t>DOMINANCIA EXTREMA DE CANDIDATOS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Zonas donde un candidato concentra &gt;60% de los votos de su partido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>
      <c r="A4" s="5" t="inlineStr">
        <is>
          <t>Municipio</t>
        </is>
      </c>
      <c r="B4" s="5" t="inlineStr">
        <is>
          <t>Zona</t>
        </is>
      </c>
      <c r="C4" s="5" t="inlineStr">
        <is>
          <t>Corporacion</t>
        </is>
      </c>
      <c r="D4" s="5" t="inlineStr">
        <is>
          <t>Partido</t>
        </is>
      </c>
      <c r="E4" s="5" t="inlineStr">
        <is>
          <t>Candidato</t>
        </is>
      </c>
      <c r="F4" s="5" t="inlineStr">
        <is>
          <t>Votos Candidato</t>
        </is>
      </c>
      <c r="G4" s="5" t="inlineStr">
        <is>
          <t>Votos Partido Zona</t>
        </is>
      </c>
      <c r="H4" s="5" t="inlineStr">
        <is>
          <t>Dominancia %</t>
        </is>
      </c>
      <c r="I4" s="5" t="inlineStr">
        <is>
          <t>Nivel</t>
        </is>
      </c>
    </row>
    <row r="5">
      <c r="A5" s="8" t="inlineStr">
        <is>
          <t>TUNJA</t>
        </is>
      </c>
      <c r="B5" s="8" t="inlineStr">
        <is>
          <t>070000198</t>
        </is>
      </c>
      <c r="C5" s="8" t="inlineStr">
        <is>
          <t>CA</t>
        </is>
      </c>
      <c r="D5" s="8" t="inlineStr">
        <is>
          <t>Partido 120</t>
        </is>
      </c>
      <c r="E5" s="8" t="inlineStr">
        <is>
          <t>Jairo Enrique Castiblanco Parra</t>
        </is>
      </c>
      <c r="F5" s="9" t="n">
        <v>2</v>
      </c>
      <c r="G5" s="9" t="n">
        <v>2</v>
      </c>
      <c r="H5" s="15" t="n">
        <v>1</v>
      </c>
      <c r="I5" s="20" t="inlineStr">
        <is>
          <t>Absoluta</t>
        </is>
      </c>
    </row>
    <row r="6">
      <c r="A6" s="6" t="inlineStr">
        <is>
          <t>DUITAMA</t>
        </is>
      </c>
      <c r="B6" s="6" t="inlineStr">
        <is>
          <t>070007998</t>
        </is>
      </c>
      <c r="C6" s="6" t="inlineStr">
        <is>
          <t>CA</t>
        </is>
      </c>
      <c r="D6" s="6" t="inlineStr">
        <is>
          <t>Partido 120</t>
        </is>
      </c>
      <c r="E6" s="6" t="inlineStr">
        <is>
          <t>Nancy Yaneth Zapata Pachon</t>
        </is>
      </c>
      <c r="F6" s="7" t="n">
        <v>2</v>
      </c>
      <c r="G6" s="7" t="n">
        <v>2</v>
      </c>
      <c r="H6" s="17" t="n">
        <v>1</v>
      </c>
      <c r="I6" s="19" t="inlineStr">
        <is>
          <t>Absoluta</t>
        </is>
      </c>
    </row>
    <row r="7">
      <c r="A7" s="8" t="inlineStr">
        <is>
          <t>SOGAMOSO</t>
        </is>
      </c>
      <c r="B7" s="8" t="inlineStr">
        <is>
          <t>070027798</t>
        </is>
      </c>
      <c r="C7" s="8" t="inlineStr">
        <is>
          <t>CA</t>
        </is>
      </c>
      <c r="D7" s="8" t="inlineStr">
        <is>
          <t>Partido 120</t>
        </is>
      </c>
      <c r="E7" s="8" t="inlineStr">
        <is>
          <t>Manuel Steven Alvarez Pulido</t>
        </is>
      </c>
      <c r="F7" s="9" t="n">
        <v>1</v>
      </c>
      <c r="G7" s="9" t="n">
        <v>1</v>
      </c>
      <c r="H7" s="15" t="n">
        <v>1</v>
      </c>
      <c r="I7" s="20" t="inlineStr">
        <is>
          <t>Absoluta</t>
        </is>
      </c>
    </row>
    <row r="8">
      <c r="A8" s="6" t="inlineStr">
        <is>
          <t>TUNJA</t>
        </is>
      </c>
      <c r="B8" s="6" t="inlineStr">
        <is>
          <t>070000198</t>
        </is>
      </c>
      <c r="C8" s="6" t="inlineStr">
        <is>
          <t>SE</t>
        </is>
      </c>
      <c r="D8" s="6" t="inlineStr">
        <is>
          <t>Partido 43</t>
        </is>
      </c>
      <c r="E8" s="6" t="inlineStr">
        <is>
          <t>Gloria Elsy Diaz Martinez</t>
        </is>
      </c>
      <c r="F8" s="7" t="n">
        <v>1</v>
      </c>
      <c r="G8" s="7" t="n">
        <v>1</v>
      </c>
      <c r="H8" s="17" t="n">
        <v>1</v>
      </c>
      <c r="I8" s="19" t="inlineStr">
        <is>
          <t>Absoluta</t>
        </is>
      </c>
    </row>
    <row r="9">
      <c r="A9" s="8" t="inlineStr">
        <is>
          <t>TUNJA</t>
        </is>
      </c>
      <c r="B9" s="8" t="inlineStr">
        <is>
          <t>070000198</t>
        </is>
      </c>
      <c r="C9" s="8" t="inlineStr">
        <is>
          <t>SE</t>
        </is>
      </c>
      <c r="D9" s="8" t="inlineStr">
        <is>
          <t>Partido 55</t>
        </is>
      </c>
      <c r="E9" s="8" t="inlineStr">
        <is>
          <t>Fabio Arias Giraldo</t>
        </is>
      </c>
      <c r="F9" s="9" t="n">
        <v>1</v>
      </c>
      <c r="G9" s="9" t="n">
        <v>1</v>
      </c>
      <c r="H9" s="15" t="n">
        <v>1</v>
      </c>
      <c r="I9" s="20" t="inlineStr">
        <is>
          <t>Absoluta</t>
        </is>
      </c>
    </row>
    <row r="10">
      <c r="A10" s="6" t="inlineStr">
        <is>
          <t>TUNJA</t>
        </is>
      </c>
      <c r="B10" s="6" t="inlineStr">
        <is>
          <t>070000199</t>
        </is>
      </c>
      <c r="C10" s="6" t="inlineStr">
        <is>
          <t>SE</t>
        </is>
      </c>
      <c r="D10" s="6" t="inlineStr">
        <is>
          <t>Partido 17</t>
        </is>
      </c>
      <c r="E10" s="6" t="inlineStr">
        <is>
          <t>Juan Camilo Ostos Romero</t>
        </is>
      </c>
      <c r="F10" s="7" t="n">
        <v>2</v>
      </c>
      <c r="G10" s="7" t="n">
        <v>2</v>
      </c>
      <c r="H10" s="17" t="n">
        <v>1</v>
      </c>
      <c r="I10" s="19" t="inlineStr">
        <is>
          <t>Absoluta</t>
        </is>
      </c>
    </row>
    <row r="11">
      <c r="A11" s="8" t="inlineStr">
        <is>
          <t>DUITAMA</t>
        </is>
      </c>
      <c r="B11" s="8" t="inlineStr">
        <is>
          <t>070007998</t>
        </is>
      </c>
      <c r="C11" s="8" t="inlineStr">
        <is>
          <t>SE</t>
        </is>
      </c>
      <c r="D11" s="8" t="inlineStr">
        <is>
          <t>Partido 44</t>
        </is>
      </c>
      <c r="E11" s="8" t="inlineStr">
        <is>
          <t>Jose Nicolas Gomez Medina</t>
        </is>
      </c>
      <c r="F11" s="9" t="n">
        <v>1</v>
      </c>
      <c r="G11" s="9" t="n">
        <v>1</v>
      </c>
      <c r="H11" s="15" t="n">
        <v>1</v>
      </c>
      <c r="I11" s="20" t="inlineStr">
        <is>
          <t>Absoluta</t>
        </is>
      </c>
    </row>
    <row r="12">
      <c r="A12" s="6" t="inlineStr">
        <is>
          <t>SOGAMOSO</t>
        </is>
      </c>
      <c r="B12" s="6" t="inlineStr">
        <is>
          <t>070027799</t>
        </is>
      </c>
      <c r="C12" s="6" t="inlineStr">
        <is>
          <t>SE</t>
        </is>
      </c>
      <c r="D12" s="6" t="inlineStr">
        <is>
          <t>Partido 39</t>
        </is>
      </c>
      <c r="E12" s="6" t="inlineStr">
        <is>
          <t>Claudia Eusebia Cespedes Campos</t>
        </is>
      </c>
      <c r="F12" s="7" t="n">
        <v>1</v>
      </c>
      <c r="G12" s="7" t="n">
        <v>1</v>
      </c>
      <c r="H12" s="17" t="n">
        <v>1</v>
      </c>
      <c r="I12" s="19" t="inlineStr">
        <is>
          <t>Absoluta</t>
        </is>
      </c>
    </row>
    <row r="13">
      <c r="A13" s="8" t="inlineStr">
        <is>
          <t>SOGAMOSO</t>
        </is>
      </c>
      <c r="B13" s="8" t="inlineStr">
        <is>
          <t>070027799</t>
        </is>
      </c>
      <c r="C13" s="8" t="inlineStr">
        <is>
          <t>SE</t>
        </is>
      </c>
      <c r="D13" s="8" t="inlineStr">
        <is>
          <t>Partido 17</t>
        </is>
      </c>
      <c r="E13" s="8" t="inlineStr">
        <is>
          <t>Juan Camilo Ostos Romero</t>
        </is>
      </c>
      <c r="F13" s="9" t="n">
        <v>94</v>
      </c>
      <c r="G13" s="9" t="n">
        <v>107</v>
      </c>
      <c r="H13" s="15" t="n">
        <v>0.879</v>
      </c>
      <c r="I13" s="21" t="inlineStr">
        <is>
          <t>Alta</t>
        </is>
      </c>
    </row>
    <row r="14">
      <c r="A14" s="6" t="inlineStr">
        <is>
          <t>PAIPA</t>
        </is>
      </c>
      <c r="B14" s="6" t="inlineStr">
        <is>
          <t>070018199</t>
        </is>
      </c>
      <c r="C14" s="6" t="inlineStr">
        <is>
          <t>SE</t>
        </is>
      </c>
      <c r="D14" s="6" t="inlineStr">
        <is>
          <t>Partido 43</t>
        </is>
      </c>
      <c r="E14" s="6" t="inlineStr">
        <is>
          <t>Gloria Elsy Diaz Martinez</t>
        </is>
      </c>
      <c r="F14" s="7" t="n">
        <v>62</v>
      </c>
      <c r="G14" s="7" t="n">
        <v>72</v>
      </c>
      <c r="H14" s="17" t="n">
        <v>0.861</v>
      </c>
      <c r="I14" s="22" t="inlineStr">
        <is>
          <t>Alta</t>
        </is>
      </c>
    </row>
    <row r="15">
      <c r="A15" s="8" t="inlineStr">
        <is>
          <t>DUITAMA</t>
        </is>
      </c>
      <c r="B15" s="8" t="inlineStr">
        <is>
          <t>070007998</t>
        </is>
      </c>
      <c r="C15" s="8" t="inlineStr">
        <is>
          <t>CA</t>
        </is>
      </c>
      <c r="D15" s="8" t="inlineStr">
        <is>
          <t>Conservador</t>
        </is>
      </c>
      <c r="E15" s="8" t="inlineStr">
        <is>
          <t>Hector David Chaparro Chaparro</t>
        </is>
      </c>
      <c r="F15" s="9" t="n">
        <v>6</v>
      </c>
      <c r="G15" s="9" t="n">
        <v>7</v>
      </c>
      <c r="H15" s="15" t="n">
        <v>0.857</v>
      </c>
      <c r="I15" s="21" t="inlineStr">
        <is>
          <t>Alta</t>
        </is>
      </c>
    </row>
    <row r="16">
      <c r="A16" s="6" t="inlineStr">
        <is>
          <t>PAIPA</t>
        </is>
      </c>
      <c r="B16" s="6" t="inlineStr">
        <is>
          <t>070018199</t>
        </is>
      </c>
      <c r="C16" s="6" t="inlineStr">
        <is>
          <t>SE</t>
        </is>
      </c>
      <c r="D16" s="6" t="inlineStr">
        <is>
          <t>Partido 3</t>
        </is>
      </c>
      <c r="E16" s="6" t="inlineStr">
        <is>
          <t>Soledad Tamayo Tamayo</t>
        </is>
      </c>
      <c r="F16" s="7" t="n">
        <v>330</v>
      </c>
      <c r="G16" s="7" t="n">
        <v>401</v>
      </c>
      <c r="H16" s="17" t="n">
        <v>0.823</v>
      </c>
      <c r="I16" s="22" t="inlineStr">
        <is>
          <t>Alta</t>
        </is>
      </c>
    </row>
    <row r="17">
      <c r="A17" s="8" t="inlineStr">
        <is>
          <t>PAIPA</t>
        </is>
      </c>
      <c r="B17" s="8" t="inlineStr">
        <is>
          <t>070018199</t>
        </is>
      </c>
      <c r="C17" s="8" t="inlineStr">
        <is>
          <t>CA</t>
        </is>
      </c>
      <c r="D17" s="8" t="inlineStr">
        <is>
          <t>Conservador</t>
        </is>
      </c>
      <c r="E17" s="8" t="inlineStr">
        <is>
          <t>Hector David Chaparro Chaparro</t>
        </is>
      </c>
      <c r="F17" s="9" t="n">
        <v>102</v>
      </c>
      <c r="G17" s="9" t="n">
        <v>125</v>
      </c>
      <c r="H17" s="15" t="n">
        <v>0.8159999999999999</v>
      </c>
      <c r="I17" s="21" t="inlineStr">
        <is>
          <t>Alta</t>
        </is>
      </c>
    </row>
    <row r="18">
      <c r="A18" s="6" t="inlineStr">
        <is>
          <t>SOGAMOSO</t>
        </is>
      </c>
      <c r="B18" s="6" t="inlineStr">
        <is>
          <t>070027798</t>
        </is>
      </c>
      <c r="C18" s="6" t="inlineStr">
        <is>
          <t>SE</t>
        </is>
      </c>
      <c r="D18" s="6" t="inlineStr">
        <is>
          <t>Partido 17</t>
        </is>
      </c>
      <c r="E18" s="6" t="inlineStr">
        <is>
          <t>Juan Camilo Ostos Romero</t>
        </is>
      </c>
      <c r="F18" s="7" t="n">
        <v>4</v>
      </c>
      <c r="G18" s="7" t="n">
        <v>5</v>
      </c>
      <c r="H18" s="17" t="n">
        <v>0.8</v>
      </c>
      <c r="I18" s="22" t="inlineStr">
        <is>
          <t>Alta</t>
        </is>
      </c>
    </row>
    <row r="19">
      <c r="A19" s="8" t="inlineStr">
        <is>
          <t>SOGAMOSO</t>
        </is>
      </c>
      <c r="B19" s="8" t="inlineStr">
        <is>
          <t>070027798</t>
        </is>
      </c>
      <c r="C19" s="8" t="inlineStr">
        <is>
          <t>SE</t>
        </is>
      </c>
      <c r="D19" s="8" t="inlineStr">
        <is>
          <t>Conservador</t>
        </is>
      </c>
      <c r="E19" s="8" t="inlineStr">
        <is>
          <t>Maria Eugenia Lopera Monsalve</t>
        </is>
      </c>
      <c r="F19" s="9" t="n">
        <v>8</v>
      </c>
      <c r="G19" s="9" t="n">
        <v>10</v>
      </c>
      <c r="H19" s="15" t="n">
        <v>0.8</v>
      </c>
      <c r="I19" s="21" t="inlineStr">
        <is>
          <t>Alta</t>
        </is>
      </c>
    </row>
    <row r="20">
      <c r="A20" s="6" t="inlineStr">
        <is>
          <t>SOGAMOSO</t>
        </is>
      </c>
      <c r="B20" s="6" t="inlineStr">
        <is>
          <t>070027799</t>
        </is>
      </c>
      <c r="C20" s="6" t="inlineStr">
        <is>
          <t>SE</t>
        </is>
      </c>
      <c r="D20" s="6" t="inlineStr">
        <is>
          <t>Partido 3</t>
        </is>
      </c>
      <c r="E20" s="6" t="inlineStr">
        <is>
          <t>Miguel Angel Barreto Castillo</t>
        </is>
      </c>
      <c r="F20" s="7" t="n">
        <v>97</v>
      </c>
      <c r="G20" s="7" t="n">
        <v>124</v>
      </c>
      <c r="H20" s="17" t="n">
        <v>0.782</v>
      </c>
      <c r="I20" s="22" t="inlineStr">
        <is>
          <t>Alta</t>
        </is>
      </c>
    </row>
    <row r="21">
      <c r="A21" s="8" t="inlineStr">
        <is>
          <t>SOGAMOSO</t>
        </is>
      </c>
      <c r="B21" s="8" t="inlineStr">
        <is>
          <t>070027790</t>
        </is>
      </c>
      <c r="C21" s="8" t="inlineStr">
        <is>
          <t>SE</t>
        </is>
      </c>
      <c r="D21" s="8" t="inlineStr">
        <is>
          <t>Partido 17</t>
        </is>
      </c>
      <c r="E21" s="8" t="inlineStr">
        <is>
          <t>Juan Camilo Ostos Romero</t>
        </is>
      </c>
      <c r="F21" s="9" t="n">
        <v>280</v>
      </c>
      <c r="G21" s="9" t="n">
        <v>359</v>
      </c>
      <c r="H21" s="15" t="n">
        <v>0.78</v>
      </c>
      <c r="I21" s="21" t="inlineStr">
        <is>
          <t>Alta</t>
        </is>
      </c>
    </row>
    <row r="22">
      <c r="A22" s="6" t="inlineStr">
        <is>
          <t>SOGAMOSO</t>
        </is>
      </c>
      <c r="B22" s="6" t="inlineStr">
        <is>
          <t>070027790</t>
        </is>
      </c>
      <c r="C22" s="6" t="inlineStr">
        <is>
          <t>SE</t>
        </is>
      </c>
      <c r="D22" s="6" t="inlineStr">
        <is>
          <t>Partido 39</t>
        </is>
      </c>
      <c r="E22" s="6" t="inlineStr">
        <is>
          <t>Juliana Gutierrez Zuluaga</t>
        </is>
      </c>
      <c r="F22" s="7" t="n">
        <v>3</v>
      </c>
      <c r="G22" s="7" t="n">
        <v>4</v>
      </c>
      <c r="H22" s="17" t="n">
        <v>0.75</v>
      </c>
      <c r="I22" s="22" t="inlineStr">
        <is>
          <t>Alta</t>
        </is>
      </c>
    </row>
    <row r="23">
      <c r="A23" s="8" t="inlineStr">
        <is>
          <t>DUITAMA</t>
        </is>
      </c>
      <c r="B23" s="8" t="inlineStr">
        <is>
          <t>070007901</t>
        </is>
      </c>
      <c r="C23" s="8" t="inlineStr">
        <is>
          <t>CA</t>
        </is>
      </c>
      <c r="D23" s="8" t="inlineStr">
        <is>
          <t>Conservador</t>
        </is>
      </c>
      <c r="E23" s="8" t="inlineStr">
        <is>
          <t>Hector David Chaparro Chaparro</t>
        </is>
      </c>
      <c r="F23" s="9" t="n">
        <v>1705</v>
      </c>
      <c r="G23" s="9" t="n">
        <v>2296</v>
      </c>
      <c r="H23" s="15" t="n">
        <v>0.743</v>
      </c>
      <c r="I23" s="23" t="inlineStr">
        <is>
          <t>Moderada</t>
        </is>
      </c>
    </row>
    <row r="24">
      <c r="A24" s="6" t="inlineStr">
        <is>
          <t>DUITAMA</t>
        </is>
      </c>
      <c r="B24" s="6" t="inlineStr">
        <is>
          <t>070007990</t>
        </is>
      </c>
      <c r="C24" s="6" t="inlineStr">
        <is>
          <t>CA</t>
        </is>
      </c>
      <c r="D24" s="6" t="inlineStr">
        <is>
          <t>Conservador</t>
        </is>
      </c>
      <c r="E24" s="6" t="inlineStr">
        <is>
          <t>Hector David Chaparro Chaparro</t>
        </is>
      </c>
      <c r="F24" s="7" t="n">
        <v>366</v>
      </c>
      <c r="G24" s="7" t="n">
        <v>496</v>
      </c>
      <c r="H24" s="17" t="n">
        <v>0.738</v>
      </c>
      <c r="I24" s="24" t="inlineStr">
        <is>
          <t>Moderada</t>
        </is>
      </c>
    </row>
    <row r="25">
      <c r="A25" s="8" t="inlineStr">
        <is>
          <t>SOGAMOSO</t>
        </is>
      </c>
      <c r="B25" s="8" t="inlineStr">
        <is>
          <t>070027702</t>
        </is>
      </c>
      <c r="C25" s="8" t="inlineStr">
        <is>
          <t>SE</t>
        </is>
      </c>
      <c r="D25" s="8" t="inlineStr">
        <is>
          <t>Partido 17</t>
        </is>
      </c>
      <c r="E25" s="8" t="inlineStr">
        <is>
          <t>Juan Camilo Ostos Romero</t>
        </is>
      </c>
      <c r="F25" s="9" t="n">
        <v>2086</v>
      </c>
      <c r="G25" s="9" t="n">
        <v>2851</v>
      </c>
      <c r="H25" s="15" t="n">
        <v>0.732</v>
      </c>
      <c r="I25" s="23" t="inlineStr">
        <is>
          <t>Moderada</t>
        </is>
      </c>
    </row>
    <row r="26">
      <c r="A26" s="6" t="inlineStr">
        <is>
          <t>SOGAMOSO</t>
        </is>
      </c>
      <c r="B26" s="6" t="inlineStr">
        <is>
          <t>070027701</t>
        </is>
      </c>
      <c r="C26" s="6" t="inlineStr">
        <is>
          <t>SE</t>
        </is>
      </c>
      <c r="D26" s="6" t="inlineStr">
        <is>
          <t>Partido 17</t>
        </is>
      </c>
      <c r="E26" s="6" t="inlineStr">
        <is>
          <t>Juan Camilo Ostos Romero</t>
        </is>
      </c>
      <c r="F26" s="7" t="n">
        <v>1686</v>
      </c>
      <c r="G26" s="7" t="n">
        <v>2323</v>
      </c>
      <c r="H26" s="17" t="n">
        <v>0.726</v>
      </c>
      <c r="I26" s="24" t="inlineStr">
        <is>
          <t>Moderada</t>
        </is>
      </c>
    </row>
    <row r="27">
      <c r="A27" s="8" t="inlineStr">
        <is>
          <t>PAIPA</t>
        </is>
      </c>
      <c r="B27" s="8" t="inlineStr">
        <is>
          <t>070018199</t>
        </is>
      </c>
      <c r="C27" s="8" t="inlineStr">
        <is>
          <t>CA</t>
        </is>
      </c>
      <c r="D27" s="8" t="inlineStr">
        <is>
          <t>Alianza Verde</t>
        </is>
      </c>
      <c r="E27" s="8" t="inlineStr">
        <is>
          <t>Yamit Noe Hurtado Neira</t>
        </is>
      </c>
      <c r="F27" s="9" t="n">
        <v>436</v>
      </c>
      <c r="G27" s="9" t="n">
        <v>603</v>
      </c>
      <c r="H27" s="15" t="n">
        <v>0.723</v>
      </c>
      <c r="I27" s="23" t="inlineStr">
        <is>
          <t>Moderada</t>
        </is>
      </c>
    </row>
    <row r="28">
      <c r="A28" s="6" t="inlineStr">
        <is>
          <t>TUNJA</t>
        </is>
      </c>
      <c r="B28" s="6" t="inlineStr">
        <is>
          <t>070000199</t>
        </is>
      </c>
      <c r="C28" s="6" t="inlineStr">
        <is>
          <t>SE</t>
        </is>
      </c>
      <c r="D28" s="6" t="inlineStr">
        <is>
          <t>Partido 44</t>
        </is>
      </c>
      <c r="E28" s="6" t="inlineStr">
        <is>
          <t>Nelson Javier Lopez Rodriguez</t>
        </is>
      </c>
      <c r="F28" s="7" t="n">
        <v>18</v>
      </c>
      <c r="G28" s="7" t="n">
        <v>25</v>
      </c>
      <c r="H28" s="17" t="n">
        <v>0.72</v>
      </c>
      <c r="I28" s="24" t="inlineStr">
        <is>
          <t>Moderada</t>
        </is>
      </c>
    </row>
    <row r="29">
      <c r="A29" s="8" t="inlineStr">
        <is>
          <t>TUNJA</t>
        </is>
      </c>
      <c r="B29" s="8" t="inlineStr">
        <is>
          <t>070000190</t>
        </is>
      </c>
      <c r="C29" s="8" t="inlineStr">
        <is>
          <t>SE</t>
        </is>
      </c>
      <c r="D29" s="8" t="inlineStr">
        <is>
          <t>Partido 170</t>
        </is>
      </c>
      <c r="E29" s="8" t="inlineStr">
        <is>
          <t>Nelson Javier Alarcon Suarez</t>
        </is>
      </c>
      <c r="F29" s="9" t="n">
        <v>23</v>
      </c>
      <c r="G29" s="9" t="n">
        <v>32</v>
      </c>
      <c r="H29" s="15" t="n">
        <v>0.7190000000000001</v>
      </c>
      <c r="I29" s="23" t="inlineStr">
        <is>
          <t>Moderada</t>
        </is>
      </c>
    </row>
    <row r="30">
      <c r="A30" s="6" t="inlineStr">
        <is>
          <t>TUNJA</t>
        </is>
      </c>
      <c r="B30" s="6" t="inlineStr">
        <is>
          <t>070000199</t>
        </is>
      </c>
      <c r="C30" s="6" t="inlineStr">
        <is>
          <t>CA</t>
        </is>
      </c>
      <c r="D30" s="6" t="inlineStr">
        <is>
          <t>Partido 120</t>
        </is>
      </c>
      <c r="E30" s="6" t="inlineStr">
        <is>
          <t>Jairo Enrique Castiblanco Parra</t>
        </is>
      </c>
      <c r="F30" s="7" t="n">
        <v>7</v>
      </c>
      <c r="G30" s="7" t="n">
        <v>10</v>
      </c>
      <c r="H30" s="17" t="n">
        <v>0.7</v>
      </c>
      <c r="I30" s="24" t="inlineStr">
        <is>
          <t>Moderada</t>
        </is>
      </c>
    </row>
    <row r="31">
      <c r="A31" s="8" t="inlineStr">
        <is>
          <t>PAIPA</t>
        </is>
      </c>
      <c r="B31" s="8" t="inlineStr">
        <is>
          <t>070018102</t>
        </is>
      </c>
      <c r="C31" s="8" t="inlineStr">
        <is>
          <t>SE</t>
        </is>
      </c>
      <c r="D31" s="8" t="inlineStr">
        <is>
          <t>Partido 39</t>
        </is>
      </c>
      <c r="E31" s="8" t="inlineStr">
        <is>
          <t>Juliana Gutierrez Zuluaga</t>
        </is>
      </c>
      <c r="F31" s="9" t="n">
        <v>7</v>
      </c>
      <c r="G31" s="9" t="n">
        <v>10</v>
      </c>
      <c r="H31" s="15" t="n">
        <v>0.7</v>
      </c>
      <c r="I31" s="23" t="inlineStr">
        <is>
          <t>Moderada</t>
        </is>
      </c>
    </row>
    <row r="32">
      <c r="A32" s="6" t="inlineStr">
        <is>
          <t>DUITAMA</t>
        </is>
      </c>
      <c r="B32" s="6" t="inlineStr">
        <is>
          <t>070007902</t>
        </is>
      </c>
      <c r="C32" s="6" t="inlineStr">
        <is>
          <t>CA</t>
        </is>
      </c>
      <c r="D32" s="6" t="inlineStr">
        <is>
          <t>Conservador</t>
        </is>
      </c>
      <c r="E32" s="6" t="inlineStr">
        <is>
          <t>Hector David Chaparro Chaparro</t>
        </is>
      </c>
      <c r="F32" s="7" t="n">
        <v>2154</v>
      </c>
      <c r="G32" s="7" t="n">
        <v>3110</v>
      </c>
      <c r="H32" s="17" t="n">
        <v>0.6929999999999999</v>
      </c>
      <c r="I32" s="24" t="inlineStr">
        <is>
          <t>Moderada</t>
        </is>
      </c>
    </row>
    <row r="33">
      <c r="A33" s="8" t="inlineStr">
        <is>
          <t>TUNJA</t>
        </is>
      </c>
      <c r="B33" s="8" t="inlineStr">
        <is>
          <t>070000199</t>
        </is>
      </c>
      <c r="C33" s="8" t="inlineStr">
        <is>
          <t>CA</t>
        </is>
      </c>
      <c r="D33" s="8" t="inlineStr">
        <is>
          <t>Partido 122</t>
        </is>
      </c>
      <c r="E33" s="8" t="inlineStr">
        <is>
          <t>Fabian Camilo Rojas Barrera</t>
        </is>
      </c>
      <c r="F33" s="9" t="n">
        <v>13</v>
      </c>
      <c r="G33" s="9" t="n">
        <v>19</v>
      </c>
      <c r="H33" s="15" t="n">
        <v>0.6840000000000001</v>
      </c>
      <c r="I33" s="23" t="inlineStr">
        <is>
          <t>Moderada</t>
        </is>
      </c>
    </row>
    <row r="34">
      <c r="A34" s="6" t="inlineStr">
        <is>
          <t>DUITAMA</t>
        </is>
      </c>
      <c r="B34" s="6" t="inlineStr">
        <is>
          <t>070007999</t>
        </is>
      </c>
      <c r="C34" s="6" t="inlineStr">
        <is>
          <t>CA</t>
        </is>
      </c>
      <c r="D34" s="6" t="inlineStr">
        <is>
          <t>Conservador</t>
        </is>
      </c>
      <c r="E34" s="6" t="inlineStr">
        <is>
          <t>Hector David Chaparro Chaparro</t>
        </is>
      </c>
      <c r="F34" s="7" t="n">
        <v>328</v>
      </c>
      <c r="G34" s="7" t="n">
        <v>484</v>
      </c>
      <c r="H34" s="17" t="n">
        <v>0.6779999999999999</v>
      </c>
      <c r="I34" s="24" t="inlineStr">
        <is>
          <t>Moderada</t>
        </is>
      </c>
    </row>
    <row r="35">
      <c r="A35" s="8" t="inlineStr">
        <is>
          <t>PAIPA</t>
        </is>
      </c>
      <c r="B35" s="8" t="inlineStr">
        <is>
          <t>070018102</t>
        </is>
      </c>
      <c r="C35" s="8" t="inlineStr">
        <is>
          <t>CA</t>
        </is>
      </c>
      <c r="D35" s="8" t="inlineStr">
        <is>
          <t>Conservador</t>
        </is>
      </c>
      <c r="E35" s="8" t="inlineStr">
        <is>
          <t>Hector David Chaparro Chaparro</t>
        </is>
      </c>
      <c r="F35" s="9" t="n">
        <v>734</v>
      </c>
      <c r="G35" s="9" t="n">
        <v>1088</v>
      </c>
      <c r="H35" s="15" t="n">
        <v>0.675</v>
      </c>
      <c r="I35" s="23" t="inlineStr">
        <is>
          <t>Moderada</t>
        </is>
      </c>
    </row>
    <row r="36">
      <c r="A36" s="6" t="inlineStr">
        <is>
          <t>SOGAMOSO</t>
        </is>
      </c>
      <c r="B36" s="6" t="inlineStr">
        <is>
          <t>070027799</t>
        </is>
      </c>
      <c r="C36" s="6" t="inlineStr">
        <is>
          <t>CA</t>
        </is>
      </c>
      <c r="D36" s="6" t="inlineStr">
        <is>
          <t>Conservador</t>
        </is>
      </c>
      <c r="E36" s="6" t="inlineStr">
        <is>
          <t>Hector David Chaparro Chaparro</t>
        </is>
      </c>
      <c r="F36" s="7" t="n">
        <v>136</v>
      </c>
      <c r="G36" s="7" t="n">
        <v>203</v>
      </c>
      <c r="H36" s="17" t="n">
        <v>0.67</v>
      </c>
      <c r="I36" s="24" t="inlineStr">
        <is>
          <t>Moderada</t>
        </is>
      </c>
    </row>
    <row r="37">
      <c r="A37" s="8" t="inlineStr">
        <is>
          <t>TUNJA</t>
        </is>
      </c>
      <c r="B37" s="8" t="inlineStr">
        <is>
          <t>070000103</t>
        </is>
      </c>
      <c r="C37" s="8" t="inlineStr">
        <is>
          <t>SE</t>
        </is>
      </c>
      <c r="D37" s="8" t="inlineStr">
        <is>
          <t>Partido 170</t>
        </is>
      </c>
      <c r="E37" s="8" t="inlineStr">
        <is>
          <t>Nelson Javier Alarcon Suarez</t>
        </is>
      </c>
      <c r="F37" s="9" t="n">
        <v>89</v>
      </c>
      <c r="G37" s="9" t="n">
        <v>133</v>
      </c>
      <c r="H37" s="15" t="n">
        <v>0.669</v>
      </c>
      <c r="I37" s="23" t="inlineStr">
        <is>
          <t>Moderada</t>
        </is>
      </c>
    </row>
    <row r="38">
      <c r="A38" s="6" t="inlineStr">
        <is>
          <t>PAIPA</t>
        </is>
      </c>
      <c r="B38" s="6" t="inlineStr">
        <is>
          <t>070018101</t>
        </is>
      </c>
      <c r="C38" s="6" t="inlineStr">
        <is>
          <t>CA</t>
        </is>
      </c>
      <c r="D38" s="6" t="inlineStr">
        <is>
          <t>Alianza Verde</t>
        </is>
      </c>
      <c r="E38" s="6" t="inlineStr">
        <is>
          <t>Yamit Noe Hurtado Neira</t>
        </is>
      </c>
      <c r="F38" s="7" t="n">
        <v>1991</v>
      </c>
      <c r="G38" s="7" t="n">
        <v>2980</v>
      </c>
      <c r="H38" s="17" t="n">
        <v>0.6679999999999999</v>
      </c>
      <c r="I38" s="24" t="inlineStr">
        <is>
          <t>Moderada</t>
        </is>
      </c>
    </row>
    <row r="39">
      <c r="A39" s="8" t="inlineStr">
        <is>
          <t>TUNJA</t>
        </is>
      </c>
      <c r="B39" s="8" t="inlineStr">
        <is>
          <t>070000198</t>
        </is>
      </c>
      <c r="C39" s="8" t="inlineStr">
        <is>
          <t>CA</t>
        </is>
      </c>
      <c r="D39" s="8" t="inlineStr">
        <is>
          <t>Centro Democrático</t>
        </is>
      </c>
      <c r="E39" s="8" t="inlineStr">
        <is>
          <t>Delci Del Carmen Urbano</t>
        </is>
      </c>
      <c r="F39" s="9" t="n">
        <v>2</v>
      </c>
      <c r="G39" s="9" t="n">
        <v>3</v>
      </c>
      <c r="H39" s="15" t="n">
        <v>0.667</v>
      </c>
      <c r="I39" s="23" t="inlineStr">
        <is>
          <t>Moderada</t>
        </is>
      </c>
    </row>
    <row r="40">
      <c r="A40" s="6" t="inlineStr">
        <is>
          <t>PAIPA</t>
        </is>
      </c>
      <c r="B40" s="6" t="inlineStr">
        <is>
          <t>070018199</t>
        </is>
      </c>
      <c r="C40" s="6" t="inlineStr">
        <is>
          <t>CA</t>
        </is>
      </c>
      <c r="D40" s="6" t="inlineStr">
        <is>
          <t>Partido 15</t>
        </is>
      </c>
      <c r="E40" s="6" t="inlineStr">
        <is>
          <t>Edgar Fernando Farfan Corzo</t>
        </is>
      </c>
      <c r="F40" s="7" t="n">
        <v>4</v>
      </c>
      <c r="G40" s="7" t="n">
        <v>6</v>
      </c>
      <c r="H40" s="17" t="n">
        <v>0.667</v>
      </c>
      <c r="I40" s="24" t="inlineStr">
        <is>
          <t>Moderada</t>
        </is>
      </c>
    </row>
    <row r="41">
      <c r="A41" s="8" t="inlineStr">
        <is>
          <t>SOGAMOSO</t>
        </is>
      </c>
      <c r="B41" s="8" t="inlineStr">
        <is>
          <t>070027798</t>
        </is>
      </c>
      <c r="C41" s="8" t="inlineStr">
        <is>
          <t>CA</t>
        </is>
      </c>
      <c r="D41" s="8" t="inlineStr">
        <is>
          <t>Alianza Verde</t>
        </is>
      </c>
      <c r="E41" s="8" t="inlineStr">
        <is>
          <t>Jaime Raul Salamanca Torres</t>
        </is>
      </c>
      <c r="F41" s="9" t="n">
        <v>2</v>
      </c>
      <c r="G41" s="9" t="n">
        <v>3</v>
      </c>
      <c r="H41" s="15" t="n">
        <v>0.667</v>
      </c>
      <c r="I41" s="23" t="inlineStr">
        <is>
          <t>Moderada</t>
        </is>
      </c>
    </row>
    <row r="42">
      <c r="A42" s="6" t="inlineStr">
        <is>
          <t>DUITAMA</t>
        </is>
      </c>
      <c r="B42" s="6" t="inlineStr">
        <is>
          <t>070007998</t>
        </is>
      </c>
      <c r="C42" s="6" t="inlineStr">
        <is>
          <t>SE</t>
        </is>
      </c>
      <c r="D42" s="6" t="inlineStr">
        <is>
          <t>Partido 43</t>
        </is>
      </c>
      <c r="E42" s="6" t="inlineStr">
        <is>
          <t>Carlos Eduardo Guevara Villabon</t>
        </is>
      </c>
      <c r="F42" s="7" t="n">
        <v>2</v>
      </c>
      <c r="G42" s="7" t="n">
        <v>3</v>
      </c>
      <c r="H42" s="17" t="n">
        <v>0.667</v>
      </c>
      <c r="I42" s="24" t="inlineStr">
        <is>
          <t>Moderada</t>
        </is>
      </c>
    </row>
    <row r="43">
      <c r="A43" s="8" t="inlineStr">
        <is>
          <t>PAIPA</t>
        </is>
      </c>
      <c r="B43" s="8" t="inlineStr">
        <is>
          <t>070018199</t>
        </is>
      </c>
      <c r="C43" s="8" t="inlineStr">
        <is>
          <t>SE</t>
        </is>
      </c>
      <c r="D43" s="8" t="inlineStr">
        <is>
          <t>Alianza Verde</t>
        </is>
      </c>
      <c r="E43" s="8" t="inlineStr">
        <is>
          <t>John Edickson Amaya Rodriguez</t>
        </is>
      </c>
      <c r="F43" s="9" t="n">
        <v>148</v>
      </c>
      <c r="G43" s="9" t="n">
        <v>226</v>
      </c>
      <c r="H43" s="15" t="n">
        <v>0.655</v>
      </c>
      <c r="I43" s="23" t="inlineStr">
        <is>
          <t>Moderada</t>
        </is>
      </c>
    </row>
    <row r="44">
      <c r="A44" s="6" t="inlineStr">
        <is>
          <t>PAIPA</t>
        </is>
      </c>
      <c r="B44" s="6" t="inlineStr">
        <is>
          <t>070018199</t>
        </is>
      </c>
      <c r="C44" s="6" t="inlineStr">
        <is>
          <t>CA</t>
        </is>
      </c>
      <c r="D44" s="6" t="inlineStr">
        <is>
          <t>Partido 122</t>
        </is>
      </c>
      <c r="E44" s="6" t="inlineStr">
        <is>
          <t>Oscar Yovany Montenegro Salcedo</t>
        </is>
      </c>
      <c r="F44" s="7" t="n">
        <v>34</v>
      </c>
      <c r="G44" s="7" t="n">
        <v>52</v>
      </c>
      <c r="H44" s="17" t="n">
        <v>0.654</v>
      </c>
      <c r="I44" s="24" t="inlineStr">
        <is>
          <t>Moderada</t>
        </is>
      </c>
    </row>
    <row r="45">
      <c r="A45" s="8" t="inlineStr">
        <is>
          <t>PAIPA</t>
        </is>
      </c>
      <c r="B45" s="8" t="inlineStr">
        <is>
          <t>070018102</t>
        </is>
      </c>
      <c r="C45" s="8" t="inlineStr">
        <is>
          <t>CA</t>
        </is>
      </c>
      <c r="D45" s="8" t="inlineStr">
        <is>
          <t>Alianza Verde</t>
        </is>
      </c>
      <c r="E45" s="8" t="inlineStr">
        <is>
          <t>Yamit Noe Hurtado Neira</t>
        </is>
      </c>
      <c r="F45" s="9" t="n">
        <v>2329</v>
      </c>
      <c r="G45" s="9" t="n">
        <v>3588</v>
      </c>
      <c r="H45" s="15" t="n">
        <v>0.649</v>
      </c>
      <c r="I45" s="23" t="inlineStr">
        <is>
          <t>Moderada</t>
        </is>
      </c>
    </row>
    <row r="46">
      <c r="A46" s="6" t="inlineStr">
        <is>
          <t>PAIPA</t>
        </is>
      </c>
      <c r="B46" s="6" t="inlineStr">
        <is>
          <t>070018101</t>
        </is>
      </c>
      <c r="C46" s="6" t="inlineStr">
        <is>
          <t>CA</t>
        </is>
      </c>
      <c r="D46" s="6" t="inlineStr">
        <is>
          <t>Conservador</t>
        </is>
      </c>
      <c r="E46" s="6" t="inlineStr">
        <is>
          <t>Hector David Chaparro Chaparro</t>
        </is>
      </c>
      <c r="F46" s="7" t="n">
        <v>557</v>
      </c>
      <c r="G46" s="7" t="n">
        <v>863</v>
      </c>
      <c r="H46" s="17" t="n">
        <v>0.645</v>
      </c>
      <c r="I46" s="24" t="inlineStr">
        <is>
          <t>Moderada</t>
        </is>
      </c>
    </row>
    <row r="47">
      <c r="A47" s="8" t="inlineStr">
        <is>
          <t>SOGAMOSO</t>
        </is>
      </c>
      <c r="B47" s="8" t="inlineStr">
        <is>
          <t>070027799</t>
        </is>
      </c>
      <c r="C47" s="8" t="inlineStr">
        <is>
          <t>SE</t>
        </is>
      </c>
      <c r="D47" s="8" t="inlineStr">
        <is>
          <t>Partido 43</t>
        </is>
      </c>
      <c r="E47" s="8" t="inlineStr">
        <is>
          <t>Gloria Elsy Diaz Martinez</t>
        </is>
      </c>
      <c r="F47" s="9" t="n">
        <v>16</v>
      </c>
      <c r="G47" s="9" t="n">
        <v>25</v>
      </c>
      <c r="H47" s="15" t="n">
        <v>0.64</v>
      </c>
      <c r="I47" s="23" t="inlineStr">
        <is>
          <t>Moderada</t>
        </is>
      </c>
    </row>
    <row r="48">
      <c r="A48" s="6" t="inlineStr">
        <is>
          <t>SOGAMOSO</t>
        </is>
      </c>
      <c r="B48" s="6" t="inlineStr">
        <is>
          <t>070027798</t>
        </is>
      </c>
      <c r="C48" s="6" t="inlineStr">
        <is>
          <t>CA</t>
        </is>
      </c>
      <c r="D48" s="6" t="inlineStr">
        <is>
          <t>Conservador</t>
        </is>
      </c>
      <c r="E48" s="6" t="inlineStr">
        <is>
          <t>Hector David Chaparro Chaparro</t>
        </is>
      </c>
      <c r="F48" s="7" t="n">
        <v>7</v>
      </c>
      <c r="G48" s="7" t="n">
        <v>11</v>
      </c>
      <c r="H48" s="17" t="n">
        <v>0.636</v>
      </c>
      <c r="I48" s="24" t="inlineStr">
        <is>
          <t>Moderada</t>
        </is>
      </c>
    </row>
    <row r="49">
      <c r="A49" s="8" t="inlineStr">
        <is>
          <t>SOGAMOSO</t>
        </is>
      </c>
      <c r="B49" s="8" t="inlineStr">
        <is>
          <t>070027790</t>
        </is>
      </c>
      <c r="C49" s="8" t="inlineStr">
        <is>
          <t>CA</t>
        </is>
      </c>
      <c r="D49" s="8" t="inlineStr">
        <is>
          <t>Conservador</t>
        </is>
      </c>
      <c r="E49" s="8" t="inlineStr">
        <is>
          <t>Hector David Chaparro Chaparro</t>
        </is>
      </c>
      <c r="F49" s="9" t="n">
        <v>368</v>
      </c>
      <c r="G49" s="9" t="n">
        <v>607</v>
      </c>
      <c r="H49" s="15" t="n">
        <v>0.606</v>
      </c>
      <c r="I49" s="23" t="inlineStr">
        <is>
          <t>Moderada</t>
        </is>
      </c>
    </row>
    <row r="50"/>
    <row r="51"/>
    <row r="52">
      <c r="A52" s="14" t="inlineStr">
        <is>
          <t>Nivel</t>
        </is>
      </c>
      <c r="B52" s="14" t="inlineStr">
        <is>
          <t>Cantidad</t>
        </is>
      </c>
    </row>
    <row r="53">
      <c r="A53" s="8" t="inlineStr">
        <is>
          <t>Absoluta</t>
        </is>
      </c>
      <c r="B53" s="9" t="n">
        <v>8</v>
      </c>
    </row>
    <row r="54">
      <c r="A54" s="8" t="inlineStr">
        <is>
          <t>Alta</t>
        </is>
      </c>
      <c r="B54" s="9" t="n">
        <v>10</v>
      </c>
    </row>
    <row r="55">
      <c r="A55" s="8" t="inlineStr">
        <is>
          <t>Moderada</t>
        </is>
      </c>
      <c r="B55" s="9" t="n">
        <v>27</v>
      </c>
    </row>
    <row r="56"/>
    <row r="57"/>
    <row r="58"/>
    <row r="59"/>
    <row r="60"/>
    <row r="61"/>
    <row r="62"/>
    <row r="63"/>
    <row r="64"/>
    <row r="65"/>
    <row r="66"/>
    <row r="67"/>
    <row r="68">
      <c r="A68" s="14" t="inlineStr">
        <is>
          <t>Candidato (zona)</t>
        </is>
      </c>
      <c r="B68" s="14" t="inlineStr">
        <is>
          <t>Dominancia %</t>
        </is>
      </c>
    </row>
    <row r="69">
      <c r="A69" s="8" t="inlineStr">
        <is>
          <t>Jairo Enrique Castiblanco Parra (Z98)</t>
        </is>
      </c>
      <c r="B69" s="25" t="n">
        <v>100</v>
      </c>
    </row>
    <row r="70">
      <c r="A70" s="8" t="inlineStr">
        <is>
          <t>Nancy Yaneth Zapata Pachon (Z98)</t>
        </is>
      </c>
      <c r="B70" s="25" t="n">
        <v>100</v>
      </c>
    </row>
    <row r="71">
      <c r="A71" s="8" t="inlineStr">
        <is>
          <t>Manuel Steven Alvarez Pulido (Z98)</t>
        </is>
      </c>
      <c r="B71" s="25" t="n">
        <v>100</v>
      </c>
    </row>
    <row r="72">
      <c r="A72" s="8" t="inlineStr">
        <is>
          <t>Gloria Elsy Diaz Martinez (Z98)</t>
        </is>
      </c>
      <c r="B72" s="25" t="n">
        <v>100</v>
      </c>
    </row>
    <row r="73">
      <c r="A73" s="8" t="inlineStr">
        <is>
          <t>Fabio Arias Giraldo (Z98)</t>
        </is>
      </c>
      <c r="B73" s="25" t="n">
        <v>100</v>
      </c>
    </row>
    <row r="74">
      <c r="A74" s="8" t="inlineStr">
        <is>
          <t>Juan Camilo Ostos Romero (Z99)</t>
        </is>
      </c>
      <c r="B74" s="25" t="n">
        <v>100</v>
      </c>
    </row>
    <row r="75">
      <c r="A75" s="8" t="inlineStr">
        <is>
          <t>Jose Nicolas Gomez Medina (Z98)</t>
        </is>
      </c>
      <c r="B75" s="25" t="n">
        <v>100</v>
      </c>
    </row>
    <row r="76">
      <c r="A76" s="8" t="inlineStr">
        <is>
          <t>Claudia Eusebia Cespedes Campos (Z99)</t>
        </is>
      </c>
      <c r="B76" s="25" t="n">
        <v>100</v>
      </c>
    </row>
    <row r="77">
      <c r="A77" s="8" t="inlineStr">
        <is>
          <t>Juan Camilo Ostos Romero (Z99)</t>
        </is>
      </c>
      <c r="B77" s="25" t="n">
        <v>87.90000000000001</v>
      </c>
    </row>
    <row r="78">
      <c r="A78" s="8" t="inlineStr">
        <is>
          <t>Gloria Elsy Diaz Martinez (Z99)</t>
        </is>
      </c>
      <c r="B78" s="25" t="n">
        <v>86.09999999999999</v>
      </c>
    </row>
    <row r="79"/>
    <row r="80"/>
    <row r="81">
      <c r="A81" s="14" t="inlineStr">
        <is>
          <t>Municipio</t>
        </is>
      </c>
      <c r="B81" s="14" t="inlineStr">
        <is>
          <t>Zonas con dominancia</t>
        </is>
      </c>
    </row>
    <row r="82">
      <c r="A82" s="8" t="inlineStr">
        <is>
          <t>SOGAMOSO</t>
        </is>
      </c>
      <c r="B82" s="9" t="n">
        <v>15</v>
      </c>
    </row>
    <row r="83">
      <c r="A83" s="8" t="inlineStr">
        <is>
          <t>PAIPA</t>
        </is>
      </c>
      <c r="B83" s="9" t="n">
        <v>12</v>
      </c>
    </row>
    <row r="84">
      <c r="A84" s="8" t="inlineStr">
        <is>
          <t>TUNJA</t>
        </is>
      </c>
      <c r="B84" s="9" t="n">
        <v>10</v>
      </c>
    </row>
    <row r="85">
      <c r="A85" s="8" t="inlineStr">
        <is>
          <t>DUITAMA</t>
        </is>
      </c>
      <c r="B85" s="9" t="n">
        <v>8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E477D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0" customWidth="1" min="3" max="3"/>
    <col width="17" customWidth="1" min="4" max="4"/>
    <col width="18" customWidth="1" min="5" max="5"/>
    <col width="18" customWidth="1" min="6" max="6"/>
    <col width="15" customWidth="1" min="7" max="7"/>
    <col width="22" customWidth="1" min="8" max="8"/>
  </cols>
  <sheetData>
    <row r="1">
      <c r="A1" s="1" t="inlineStr">
        <is>
          <t>ATRIBUCION DETERMINISTICA CA -&gt; SE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Formula: A = (votos_cand / votos_partido_CA) x votos_SE_partido | Top 20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>
      <c r="A4" s="5" t="inlineStr">
        <is>
          <t>Municipio</t>
        </is>
      </c>
      <c r="B4" s="5" t="inlineStr">
        <is>
          <t>Candidato</t>
        </is>
      </c>
      <c r="C4" s="5" t="inlineStr">
        <is>
          <t>Partido CA</t>
        </is>
      </c>
      <c r="D4" s="5" t="inlineStr">
        <is>
          <t>Votos Candidato</t>
        </is>
      </c>
      <c r="E4" s="5" t="inlineStr">
        <is>
          <t>Votos Partido CA</t>
        </is>
      </c>
      <c r="F4" s="5" t="inlineStr">
        <is>
          <t>Votos Partido SE</t>
        </is>
      </c>
      <c r="G4" s="5" t="inlineStr">
        <is>
          <t>Atribucion SE</t>
        </is>
      </c>
      <c r="H4" s="5" t="inlineStr">
        <is>
          <t>% Atribucion</t>
        </is>
      </c>
    </row>
    <row r="5">
      <c r="A5" s="8" t="inlineStr">
        <is>
          <t>TUNJA</t>
        </is>
      </c>
      <c r="B5" s="8" t="inlineStr">
        <is>
          <t>Ramiro Barragan Adame</t>
        </is>
      </c>
      <c r="C5" s="8" t="inlineStr">
        <is>
          <t>Alianza Verde</t>
        </is>
      </c>
      <c r="D5" s="9" t="n">
        <v>4294</v>
      </c>
      <c r="E5" s="9" t="n">
        <v>15836</v>
      </c>
      <c r="F5" s="9" t="n">
        <v>16296</v>
      </c>
      <c r="G5" s="9" t="n">
        <v>4418.7</v>
      </c>
      <c r="H5" s="10" t="n">
        <v>0.09388784538369353</v>
      </c>
    </row>
    <row r="6">
      <c r="A6" s="6" t="inlineStr">
        <is>
          <t>TUNJA</t>
        </is>
      </c>
      <c r="B6" s="6" t="inlineStr">
        <is>
          <t>Jaime Raul Salamanca Torres</t>
        </is>
      </c>
      <c r="C6" s="6" t="inlineStr">
        <is>
          <t>Alianza Verde</t>
        </is>
      </c>
      <c r="D6" s="7" t="n">
        <v>3986</v>
      </c>
      <c r="E6" s="7" t="n">
        <v>15836</v>
      </c>
      <c r="F6" s="7" t="n">
        <v>16296</v>
      </c>
      <c r="G6" s="7" t="n">
        <v>4101.8</v>
      </c>
      <c r="H6" s="11" t="n">
        <v>0.08715440382801146</v>
      </c>
    </row>
    <row r="7">
      <c r="A7" s="8" t="inlineStr">
        <is>
          <t>TUNJA</t>
        </is>
      </c>
      <c r="B7" s="8" t="inlineStr">
        <is>
          <t>Yamit Noe Hurtado Neira</t>
        </is>
      </c>
      <c r="C7" s="8" t="inlineStr">
        <is>
          <t>Alianza Verde</t>
        </is>
      </c>
      <c r="D7" s="9" t="n">
        <v>3933</v>
      </c>
      <c r="E7" s="9" t="n">
        <v>15836</v>
      </c>
      <c r="F7" s="9" t="n">
        <v>16296</v>
      </c>
      <c r="G7" s="9" t="n">
        <v>4047.2</v>
      </c>
      <c r="H7" s="10" t="n">
        <v>0.08599427158143447</v>
      </c>
    </row>
    <row r="8">
      <c r="A8" s="6" t="inlineStr">
        <is>
          <t>SOGAMOSO</t>
        </is>
      </c>
      <c r="B8" s="6" t="inlineStr">
        <is>
          <t>Hector David Chaparro Chaparro</t>
        </is>
      </c>
      <c r="C8" s="6" t="inlineStr">
        <is>
          <t>Conservador</t>
        </is>
      </c>
      <c r="D8" s="7" t="n">
        <v>5568</v>
      </c>
      <c r="E8" s="7" t="n">
        <v>9700</v>
      </c>
      <c r="F8" s="7" t="n">
        <v>5035</v>
      </c>
      <c r="G8" s="7" t="n">
        <v>2890.2</v>
      </c>
      <c r="H8" s="11" t="n">
        <v>0.06141051683254149</v>
      </c>
    </row>
    <row r="9">
      <c r="A9" s="8" t="inlineStr">
        <is>
          <t>DUITAMA</t>
        </is>
      </c>
      <c r="B9" s="8" t="inlineStr">
        <is>
          <t>Jaime Raul Salamanca Torres</t>
        </is>
      </c>
      <c r="C9" s="8" t="inlineStr">
        <is>
          <t>Alianza Verde</t>
        </is>
      </c>
      <c r="D9" s="9" t="n">
        <v>2198</v>
      </c>
      <c r="E9" s="9" t="n">
        <v>6507</v>
      </c>
      <c r="F9" s="9" t="n">
        <v>8371</v>
      </c>
      <c r="G9" s="9" t="n">
        <v>2827.6</v>
      </c>
      <c r="H9" s="10" t="n">
        <v>0.06008040183921331</v>
      </c>
    </row>
    <row r="10">
      <c r="A10" s="6" t="inlineStr">
        <is>
          <t>SOGAMOSO</t>
        </is>
      </c>
      <c r="B10" s="6" t="inlineStr">
        <is>
          <t>Ramiro Barragan Adame</t>
        </is>
      </c>
      <c r="C10" s="6" t="inlineStr">
        <is>
          <t>Alianza Verde</t>
        </is>
      </c>
      <c r="D10" s="7" t="n">
        <v>2771</v>
      </c>
      <c r="E10" s="7" t="n">
        <v>8086</v>
      </c>
      <c r="F10" s="7" t="n">
        <v>8195</v>
      </c>
      <c r="G10" s="7" t="n">
        <v>2808.4</v>
      </c>
      <c r="H10" s="11" t="n">
        <v>0.05967244324701042</v>
      </c>
    </row>
    <row r="11">
      <c r="A11" s="8" t="inlineStr">
        <is>
          <t>PAIPA</t>
        </is>
      </c>
      <c r="B11" s="8" t="inlineStr">
        <is>
          <t>Yamit Noe Hurtado Neira</t>
        </is>
      </c>
      <c r="C11" s="8" t="inlineStr">
        <is>
          <t>Alianza Verde</t>
        </is>
      </c>
      <c r="D11" s="9" t="n">
        <v>4756</v>
      </c>
      <c r="E11" s="9" t="n">
        <v>7171</v>
      </c>
      <c r="F11" s="9" t="n">
        <v>4161</v>
      </c>
      <c r="G11" s="9" t="n">
        <v>2759.7</v>
      </c>
      <c r="H11" s="10" t="n">
        <v>0.05863767327616246</v>
      </c>
    </row>
    <row r="12">
      <c r="A12" s="6" t="inlineStr">
        <is>
          <t>TUNJA</t>
        </is>
      </c>
      <c r="B12" s="6" t="inlineStr">
        <is>
          <t>Eduar Alexis Triana Rincon</t>
        </is>
      </c>
      <c r="C12" s="6" t="inlineStr">
        <is>
          <t>Centro Democrático</t>
        </is>
      </c>
      <c r="D12" s="7" t="n">
        <v>1730</v>
      </c>
      <c r="E12" s="7" t="n">
        <v>7736</v>
      </c>
      <c r="F12" s="7" t="n">
        <v>10613</v>
      </c>
      <c r="G12" s="7" t="n">
        <v>2373.4</v>
      </c>
      <c r="H12" s="11" t="n">
        <v>0.05042963139241367</v>
      </c>
    </row>
    <row r="13">
      <c r="A13" s="8" t="inlineStr">
        <is>
          <t>TUNJA</t>
        </is>
      </c>
      <c r="B13" s="8" t="inlineStr">
        <is>
          <t>Hector David Chaparro Chaparro</t>
        </is>
      </c>
      <c r="C13" s="8" t="inlineStr">
        <is>
          <t>Conservador</t>
        </is>
      </c>
      <c r="D13" s="9" t="n">
        <v>2341</v>
      </c>
      <c r="E13" s="9" t="n">
        <v>6716</v>
      </c>
      <c r="F13" s="9" t="n">
        <v>5978</v>
      </c>
      <c r="G13" s="9" t="n">
        <v>2083.8</v>
      </c>
      <c r="H13" s="10" t="n">
        <v>0.04427625596002006</v>
      </c>
    </row>
    <row r="14">
      <c r="A14" s="6" t="inlineStr">
        <is>
          <t>DUITAMA</t>
        </is>
      </c>
      <c r="B14" s="6" t="inlineStr">
        <is>
          <t>Ramiro Barragan Adame</t>
        </is>
      </c>
      <c r="C14" s="6" t="inlineStr">
        <is>
          <t>Alianza Verde</t>
        </is>
      </c>
      <c r="D14" s="7" t="n">
        <v>1518</v>
      </c>
      <c r="E14" s="7" t="n">
        <v>6507</v>
      </c>
      <c r="F14" s="7" t="n">
        <v>8371</v>
      </c>
      <c r="G14" s="7" t="n">
        <v>1952.8</v>
      </c>
      <c r="H14" s="11" t="n">
        <v>0.04149278848196907</v>
      </c>
    </row>
    <row r="15">
      <c r="A15" s="8" t="inlineStr">
        <is>
          <t>TUNJA</t>
        </is>
      </c>
      <c r="B15" s="8" t="inlineStr">
        <is>
          <t>Oscar Leonardo Avila Romero</t>
        </is>
      </c>
      <c r="C15" s="8" t="inlineStr">
        <is>
          <t>Conservador</t>
        </is>
      </c>
      <c r="D15" s="9" t="n">
        <v>2180</v>
      </c>
      <c r="E15" s="9" t="n">
        <v>6716</v>
      </c>
      <c r="F15" s="9" t="n">
        <v>5978</v>
      </c>
      <c r="G15" s="9" t="n">
        <v>1940.4</v>
      </c>
      <c r="H15" s="10" t="n">
        <v>0.04122931522450471</v>
      </c>
    </row>
    <row r="16">
      <c r="A16" s="6" t="inlineStr">
        <is>
          <t>DUITAMA</t>
        </is>
      </c>
      <c r="B16" s="6" t="inlineStr">
        <is>
          <t>Hector David Chaparro Chaparro</t>
        </is>
      </c>
      <c r="C16" s="6" t="inlineStr">
        <is>
          <t>Conservador</t>
        </is>
      </c>
      <c r="D16" s="7" t="n">
        <v>4559</v>
      </c>
      <c r="E16" s="7" t="n">
        <v>6393</v>
      </c>
      <c r="F16" s="7" t="n">
        <v>2532</v>
      </c>
      <c r="G16" s="7" t="n">
        <v>1805.6</v>
      </c>
      <c r="H16" s="11" t="n">
        <v>0.03836510594174691</v>
      </c>
    </row>
    <row r="17">
      <c r="A17" s="8" t="inlineStr">
        <is>
          <t>TUNJA</t>
        </is>
      </c>
      <c r="B17" s="8" t="inlineStr">
        <is>
          <t>Jicly Esgardo Mutis Isaza</t>
        </is>
      </c>
      <c r="C17" s="8" t="inlineStr">
        <is>
          <t>Centro Democrático</t>
        </is>
      </c>
      <c r="D17" s="9" t="n">
        <v>1315</v>
      </c>
      <c r="E17" s="9" t="n">
        <v>7736</v>
      </c>
      <c r="F17" s="9" t="n">
        <v>10613</v>
      </c>
      <c r="G17" s="9" t="n">
        <v>1804</v>
      </c>
      <c r="H17" s="10" t="n">
        <v>0.03833110939239667</v>
      </c>
    </row>
    <row r="18">
      <c r="A18" s="6" t="inlineStr">
        <is>
          <t>SOGAMOSO</t>
        </is>
      </c>
      <c r="B18" s="6" t="inlineStr">
        <is>
          <t>Jaime Raul Salamanca Torres</t>
        </is>
      </c>
      <c r="C18" s="6" t="inlineStr">
        <is>
          <t>Alianza Verde</t>
        </is>
      </c>
      <c r="D18" s="7" t="n">
        <v>1757</v>
      </c>
      <c r="E18" s="7" t="n">
        <v>8086</v>
      </c>
      <c r="F18" s="7" t="n">
        <v>8195</v>
      </c>
      <c r="G18" s="7" t="n">
        <v>1780.7</v>
      </c>
      <c r="H18" s="11" t="n">
        <v>0.03783603464248379</v>
      </c>
    </row>
    <row r="19">
      <c r="A19" s="8" t="inlineStr">
        <is>
          <t>DUITAMA</t>
        </is>
      </c>
      <c r="B19" s="8" t="inlineStr">
        <is>
          <t>Jicly Esgardo Mutis Isaza</t>
        </is>
      </c>
      <c r="C19" s="8" t="inlineStr">
        <is>
          <t>Centro Democrático</t>
        </is>
      </c>
      <c r="D19" s="9" t="n">
        <v>1064</v>
      </c>
      <c r="E19" s="9" t="n">
        <v>5593</v>
      </c>
      <c r="F19" s="9" t="n">
        <v>9205</v>
      </c>
      <c r="G19" s="9" t="n">
        <v>1751.1</v>
      </c>
      <c r="H19" s="10" t="n">
        <v>0.03720709847950433</v>
      </c>
    </row>
    <row r="20">
      <c r="A20" s="6" t="inlineStr">
        <is>
          <t>DUITAMA</t>
        </is>
      </c>
      <c r="B20" s="6" t="inlineStr">
        <is>
          <t>Yamit Noe Hurtado Neira</t>
        </is>
      </c>
      <c r="C20" s="6" t="inlineStr">
        <is>
          <t>Alianza Verde</t>
        </is>
      </c>
      <c r="D20" s="7" t="n">
        <v>1316</v>
      </c>
      <c r="E20" s="7" t="n">
        <v>6507</v>
      </c>
      <c r="F20" s="7" t="n">
        <v>8371</v>
      </c>
      <c r="G20" s="7" t="n">
        <v>1693</v>
      </c>
      <c r="H20" s="11" t="n">
        <v>0.0359725987812237</v>
      </c>
    </row>
    <row r="21">
      <c r="A21" s="8" t="inlineStr">
        <is>
          <t>TUNJA</t>
        </is>
      </c>
      <c r="B21" s="8" t="inlineStr">
        <is>
          <t>Vivian Andrea Nieto Florez</t>
        </is>
      </c>
      <c r="C21" s="8" t="inlineStr">
        <is>
          <t>Alianza Verde</t>
        </is>
      </c>
      <c r="D21" s="9" t="n">
        <v>1495</v>
      </c>
      <c r="E21" s="9" t="n">
        <v>15836</v>
      </c>
      <c r="F21" s="9" t="n">
        <v>16296</v>
      </c>
      <c r="G21" s="9" t="n">
        <v>1538.4</v>
      </c>
      <c r="H21" s="10" t="n">
        <v>0.03268768220025667</v>
      </c>
    </row>
    <row r="22">
      <c r="A22" s="6" t="inlineStr">
        <is>
          <t>DUITAMA</t>
        </is>
      </c>
      <c r="B22" s="6" t="inlineStr">
        <is>
          <t>Eduar Alexis Triana Rincon</t>
        </is>
      </c>
      <c r="C22" s="6" t="inlineStr">
        <is>
          <t>Centro Democrático</t>
        </is>
      </c>
      <c r="D22" s="7" t="n">
        <v>924</v>
      </c>
      <c r="E22" s="7" t="n">
        <v>5593</v>
      </c>
      <c r="F22" s="7" t="n">
        <v>9205</v>
      </c>
      <c r="G22" s="7" t="n">
        <v>1520.7</v>
      </c>
      <c r="H22" s="11" t="n">
        <v>0.03231159537306963</v>
      </c>
    </row>
    <row r="23">
      <c r="A23" s="8" t="inlineStr">
        <is>
          <t>TUNJA</t>
        </is>
      </c>
      <c r="B23" s="8" t="inlineStr">
        <is>
          <t>Delci Del Carmen Urbano</t>
        </is>
      </c>
      <c r="C23" s="8" t="inlineStr">
        <is>
          <t>Centro Democrático</t>
        </is>
      </c>
      <c r="D23" s="9" t="n">
        <v>1098</v>
      </c>
      <c r="E23" s="9" t="n">
        <v>7736</v>
      </c>
      <c r="F23" s="9" t="n">
        <v>10613</v>
      </c>
      <c r="G23" s="9" t="n">
        <v>1506.3</v>
      </c>
      <c r="H23" s="10" t="n">
        <v>0.03200562642891746</v>
      </c>
    </row>
    <row r="24">
      <c r="A24" s="6" t="inlineStr">
        <is>
          <t>DUITAMA</t>
        </is>
      </c>
      <c r="B24" s="6" t="inlineStr">
        <is>
          <t>Delci Del Carmen Urbano</t>
        </is>
      </c>
      <c r="C24" s="6" t="inlineStr">
        <is>
          <t>Centro Democrático</t>
        </is>
      </c>
      <c r="D24" s="7" t="n">
        <v>887</v>
      </c>
      <c r="E24" s="7" t="n">
        <v>5593</v>
      </c>
      <c r="F24" s="7" t="n">
        <v>9205</v>
      </c>
      <c r="G24" s="7" t="n">
        <v>1459.8</v>
      </c>
      <c r="H24" s="11" t="n">
        <v>0.03101760171342608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4" t="inlineStr">
        <is>
          <t>Partido</t>
        </is>
      </c>
      <c r="B45" s="14" t="inlineStr">
        <is>
          <t>Atribucion Total</t>
        </is>
      </c>
    </row>
    <row r="46">
      <c r="A46" s="8" t="inlineStr">
        <is>
          <t>Alianza Verde</t>
        </is>
      </c>
      <c r="B46" s="26" t="n">
        <v>27928.3</v>
      </c>
    </row>
    <row r="47">
      <c r="A47" s="8" t="inlineStr">
        <is>
          <t>Centro Democrático</t>
        </is>
      </c>
      <c r="B47" s="26" t="n">
        <v>10415.3</v>
      </c>
    </row>
    <row r="48">
      <c r="A48" s="8" t="inlineStr">
        <is>
          <t>Conservador</t>
        </is>
      </c>
      <c r="B48" s="26" t="n">
        <v>8720</v>
      </c>
    </row>
    <row r="49"/>
    <row r="50"/>
    <row r="51">
      <c r="A51" s="14" t="inlineStr">
        <is>
          <t>Candidato</t>
        </is>
      </c>
      <c r="B51" s="14" t="inlineStr">
        <is>
          <t>Votos CA directos</t>
        </is>
      </c>
      <c r="C51" s="14" t="inlineStr">
        <is>
          <t>Atribucion SE</t>
        </is>
      </c>
    </row>
    <row r="52">
      <c r="A52" s="8" t="inlineStr">
        <is>
          <t>Ramiro Barragan Adame</t>
        </is>
      </c>
      <c r="B52" s="9" t="n">
        <v>4294</v>
      </c>
      <c r="C52" s="9" t="n">
        <v>4418.7</v>
      </c>
    </row>
    <row r="53">
      <c r="A53" s="8" t="inlineStr">
        <is>
          <t>Jaime Raul Salamanca Torres</t>
        </is>
      </c>
      <c r="B53" s="9" t="n">
        <v>3986</v>
      </c>
      <c r="C53" s="9" t="n">
        <v>4101.8</v>
      </c>
    </row>
    <row r="54">
      <c r="A54" s="8" t="inlineStr">
        <is>
          <t>Yamit Noe Hurtado Neira</t>
        </is>
      </c>
      <c r="B54" s="9" t="n">
        <v>3933</v>
      </c>
      <c r="C54" s="9" t="n">
        <v>4047.2</v>
      </c>
    </row>
    <row r="55">
      <c r="A55" s="8" t="inlineStr">
        <is>
          <t>Hector David Chaparro Chaparro</t>
        </is>
      </c>
      <c r="B55" s="9" t="n">
        <v>5568</v>
      </c>
      <c r="C55" s="9" t="n">
        <v>2890.2</v>
      </c>
    </row>
    <row r="56">
      <c r="A56" s="8" t="inlineStr">
        <is>
          <t>Jaime Raul Salamanca Torres</t>
        </is>
      </c>
      <c r="B56" s="9" t="n">
        <v>2198</v>
      </c>
      <c r="C56" s="9" t="n">
        <v>2827.6</v>
      </c>
    </row>
    <row r="57">
      <c r="A57" s="8" t="inlineStr">
        <is>
          <t>Ramiro Barragan Adame</t>
        </is>
      </c>
      <c r="B57" s="9" t="n">
        <v>2771</v>
      </c>
      <c r="C57" s="9" t="n">
        <v>2808.4</v>
      </c>
    </row>
    <row r="58">
      <c r="A58" s="8" t="inlineStr">
        <is>
          <t>Yamit Noe Hurtado Neira</t>
        </is>
      </c>
      <c r="B58" s="9" t="n">
        <v>4756</v>
      </c>
      <c r="C58" s="9" t="n">
        <v>2759.7</v>
      </c>
    </row>
    <row r="59">
      <c r="A59" s="8" t="inlineStr">
        <is>
          <t>Eduar Alexis Triana Rincon</t>
        </is>
      </c>
      <c r="B59" s="9" t="n">
        <v>1730</v>
      </c>
      <c r="C59" s="9" t="n">
        <v>2373.4</v>
      </c>
    </row>
    <row r="60">
      <c r="A60" s="8" t="inlineStr">
        <is>
          <t>Hector David Chaparro Chaparro</t>
        </is>
      </c>
      <c r="B60" s="9" t="n">
        <v>2341</v>
      </c>
      <c r="C60" s="9" t="n">
        <v>2083.8</v>
      </c>
    </row>
    <row r="61">
      <c r="A61" s="8" t="inlineStr">
        <is>
          <t>Ramiro Barragan Adame</t>
        </is>
      </c>
      <c r="B61" s="9" t="n">
        <v>1518</v>
      </c>
      <c r="C61" s="9" t="n">
        <v>1952.8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2026-07-14T01:34:25Z</dcterms:created>
  <dcterms:modified xmlns:dcterms="http://purl.org/dc/terms/" xmlns:xsi="http://www.w3.org/2001/XMLSchema-instance" xsi:type="dcterms:W3CDTF">2026-07-14T01:34:25Z</dcterms:modified>
</cp:coreProperties>
</file>